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<sst xmlns="http://schemas.openxmlformats.org/spreadsheetml/2006/main" count="311" uniqueCount="311">
  <si>
    <t>企业代号</t>
  </si>
  <si>
    <t>进项的金额</t>
  </si>
  <si>
    <t>进项的税额</t>
  </si>
  <si>
    <t>销项金额</t>
  </si>
  <si>
    <t>销项税额</t>
  </si>
  <si>
    <t>月均进项金额</t>
  </si>
  <si>
    <t>月均进项税额</t>
  </si>
  <si>
    <t>月均销项税额</t>
  </si>
  <si>
    <t>月均销项金额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</si>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</sst>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4" fillId="23" borderId="4" applyNumberFormat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3"/>
  <sheetViews>
    <sheetView tabSelected="1" topLeftCell="I1" workbookViewId="0">
      <selection activeCell="O1" sqref="O$1:O$1048576"/>
    </sheetView>
  </sheetViews>
  <sheetFormatPr defaultColWidth="9" defaultRowHeight="13.8"/>
  <cols>
    <col min="2" max="2" width="20.6296296296296" customWidth="1"/>
    <col min="3" max="3" width="24.25" customWidth="1"/>
    <col min="4" max="4" width="16.6296296296296" customWidth="1"/>
    <col min="5" max="5" width="15.75" customWidth="1"/>
    <col min="6" max="6" width="16.5" customWidth="1"/>
    <col min="7" max="8" width="18.5" customWidth="1"/>
    <col min="9" max="9" width="22.75" customWidth="1"/>
    <col min="10" max="10" width="8.87962962962963" style="1"/>
  </cols>
  <sheetData>
    <row r="1" ht="18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>
      <c r="A2" s="2" t="s">
        <v>9</v>
      </c>
      <c r="B2">
        <v>785525535.339998</v>
      </c>
      <c r="C2">
        <v>58677261.8899998</v>
      </c>
      <c r="D2">
        <v>741780367.830011</v>
      </c>
      <c r="E2">
        <v>66657380.3400006</v>
      </c>
      <c r="F2">
        <v>31421021.4135999</v>
      </c>
      <c r="G2">
        <v>2347090.47559999</v>
      </c>
      <c r="H2">
        <v>2666295.21360002</v>
      </c>
      <c r="I2">
        <v>29671214.7132004</v>
      </c>
      <c r="L2">
        <v>100.2414430275</v>
      </c>
      <c r="M2">
        <v>65</v>
      </c>
      <c r="N2" t="str">
        <f>_xlfn.SWITCH(M2,65,"A",66,"B",67,"C",68,"D")</f>
        <v>A</v>
      </c>
      <c r="O2" t="str">
        <f>_xlfn.SWITCH(N2,"A","长期","B","中期","C","短期","D","不提供借贷")</f>
        <v>长期</v>
      </c>
    </row>
    <row r="3" spans="1:15">
      <c r="A3" s="3" t="s">
        <v>10</v>
      </c>
      <c r="B3">
        <v>932383246.02</v>
      </c>
      <c r="C3">
        <v>68818562.5799993</v>
      </c>
      <c r="D3">
        <v>941211364.490017</v>
      </c>
      <c r="E3">
        <v>83629745.460001</v>
      </c>
      <c r="F3">
        <v>25899534.6116666</v>
      </c>
      <c r="G3">
        <v>1911626.73833331</v>
      </c>
      <c r="H3">
        <v>2389421.29885717</v>
      </c>
      <c r="I3">
        <v>26891753.2711433</v>
      </c>
      <c r="L3">
        <v>100.723723012927</v>
      </c>
      <c r="M3">
        <v>65</v>
      </c>
      <c r="N3" t="str">
        <f t="shared" ref="N3:N66" si="0">_xlfn.SWITCH(M3,65,"A",66,"B",67,"C",68,"D")</f>
        <v>A</v>
      </c>
      <c r="O3" t="str">
        <f t="shared" ref="O3:O66" si="1">_xlfn.SWITCH(N3,"A","长期","B","中期","C","短期","D","不提供借贷")</f>
        <v>长期</v>
      </c>
    </row>
    <row r="4" spans="1:15">
      <c r="A4" s="3" t="s">
        <v>11</v>
      </c>
      <c r="B4">
        <v>112773465.19</v>
      </c>
      <c r="C4">
        <v>16045258.44</v>
      </c>
      <c r="D4">
        <v>520691097.819999</v>
      </c>
      <c r="E4">
        <v>17316278.56</v>
      </c>
      <c r="F4">
        <v>3132596.25527777</v>
      </c>
      <c r="G4">
        <v>445701.623333333</v>
      </c>
      <c r="H4">
        <v>481007.737777777</v>
      </c>
      <c r="I4">
        <v>14463641.606111</v>
      </c>
      <c r="L4">
        <v>88.0257297166067</v>
      </c>
      <c r="M4">
        <v>65</v>
      </c>
      <c r="N4" t="str">
        <f t="shared" si="0"/>
        <v>A</v>
      </c>
      <c r="O4" t="str">
        <f t="shared" si="1"/>
        <v>长期</v>
      </c>
    </row>
    <row r="5" spans="1:15">
      <c r="A5" s="3" t="s">
        <v>12</v>
      </c>
      <c r="B5">
        <v>1646702.46</v>
      </c>
      <c r="C5">
        <v>118856.479999999</v>
      </c>
      <c r="D5">
        <v>651937954.529983</v>
      </c>
      <c r="E5">
        <v>19570220.9999995</v>
      </c>
      <c r="F5">
        <v>51459.451875</v>
      </c>
      <c r="G5">
        <v>3714.26499999999</v>
      </c>
      <c r="H5">
        <v>543617.249999987</v>
      </c>
      <c r="I5">
        <v>18109387.6258328</v>
      </c>
      <c r="L5">
        <v>89.2444578674741</v>
      </c>
      <c r="M5">
        <v>65</v>
      </c>
      <c r="N5" t="str">
        <f t="shared" si="0"/>
        <v>A</v>
      </c>
      <c r="O5" t="str">
        <f t="shared" si="1"/>
        <v>长期</v>
      </c>
    </row>
    <row r="6" spans="1:15">
      <c r="A6" s="3" t="s">
        <v>13</v>
      </c>
      <c r="B6">
        <v>8928032.93000002</v>
      </c>
      <c r="C6">
        <v>432467.02</v>
      </c>
      <c r="D6">
        <v>242390151.789995</v>
      </c>
      <c r="E6">
        <v>8299067.00000002</v>
      </c>
      <c r="F6">
        <v>288001.062258065</v>
      </c>
      <c r="G6">
        <v>13950.549032258</v>
      </c>
      <c r="H6">
        <v>251486.878787879</v>
      </c>
      <c r="I6">
        <v>7345156.11484835</v>
      </c>
      <c r="L6">
        <v>88.6339888155718</v>
      </c>
      <c r="M6">
        <v>65</v>
      </c>
      <c r="N6" t="str">
        <f t="shared" si="0"/>
        <v>A</v>
      </c>
      <c r="O6" t="str">
        <f t="shared" si="1"/>
        <v>长期</v>
      </c>
    </row>
    <row r="7" spans="1:15">
      <c r="A7" s="3" t="s">
        <v>14</v>
      </c>
      <c r="B7">
        <v>76126149.4599998</v>
      </c>
      <c r="C7">
        <v>9451657.35999993</v>
      </c>
      <c r="D7">
        <v>324806032.619999</v>
      </c>
      <c r="E7">
        <v>49593039.6800001</v>
      </c>
      <c r="F7">
        <v>2114615.26277777</v>
      </c>
      <c r="G7">
        <v>262546.037777775</v>
      </c>
      <c r="H7">
        <v>1377584.43555555</v>
      </c>
      <c r="I7">
        <v>9022389.79499998</v>
      </c>
      <c r="L7">
        <v>87.3205494431783</v>
      </c>
      <c r="M7">
        <v>65</v>
      </c>
      <c r="N7" t="str">
        <f t="shared" si="0"/>
        <v>A</v>
      </c>
      <c r="O7" t="str">
        <f t="shared" si="1"/>
        <v>长期</v>
      </c>
    </row>
    <row r="8" spans="1:15">
      <c r="A8" s="3" t="s">
        <v>15</v>
      </c>
      <c r="B8">
        <v>72445153.2400001</v>
      </c>
      <c r="C8">
        <v>4961822.88000001</v>
      </c>
      <c r="D8">
        <v>110036672.880001</v>
      </c>
      <c r="E8">
        <v>10107749.2500001</v>
      </c>
      <c r="F8">
        <v>2336940.42709677</v>
      </c>
      <c r="G8">
        <v>160058.802580645</v>
      </c>
      <c r="H8">
        <v>439467.358695656</v>
      </c>
      <c r="I8">
        <v>4784203.1686957</v>
      </c>
      <c r="L8">
        <v>86.5237481358221</v>
      </c>
      <c r="M8">
        <v>65</v>
      </c>
      <c r="N8" t="str">
        <f t="shared" si="0"/>
        <v>A</v>
      </c>
      <c r="O8" t="str">
        <f t="shared" si="1"/>
        <v>长期</v>
      </c>
    </row>
    <row r="9" spans="1:15">
      <c r="A9" s="3" t="s">
        <v>16</v>
      </c>
      <c r="B9">
        <v>111348020.139999</v>
      </c>
      <c r="C9">
        <v>13755650.0999999</v>
      </c>
      <c r="D9">
        <v>209084031.789999</v>
      </c>
      <c r="E9">
        <v>32676565.58</v>
      </c>
      <c r="F9">
        <v>3093000.55944443</v>
      </c>
      <c r="G9">
        <v>382101.391666666</v>
      </c>
      <c r="H9">
        <v>907682.377222222</v>
      </c>
      <c r="I9">
        <v>5807889.77194443</v>
      </c>
      <c r="L9">
        <v>86.4986234033652</v>
      </c>
      <c r="M9" s="1">
        <v>65</v>
      </c>
      <c r="N9" t="str">
        <f t="shared" si="0"/>
        <v>A</v>
      </c>
      <c r="O9" t="str">
        <f t="shared" si="1"/>
        <v>长期</v>
      </c>
    </row>
    <row r="10" spans="1:15">
      <c r="A10" s="3" t="s">
        <v>17</v>
      </c>
      <c r="B10">
        <v>64061771.7300003</v>
      </c>
      <c r="C10">
        <v>6110116.06999991</v>
      </c>
      <c r="D10">
        <v>203358261.850003</v>
      </c>
      <c r="E10">
        <v>17667972.8900001</v>
      </c>
      <c r="F10">
        <v>2066508.76548388</v>
      </c>
      <c r="G10">
        <v>197100.518387094</v>
      </c>
      <c r="H10">
        <v>519646.261470593</v>
      </c>
      <c r="I10">
        <v>5981125.34852951</v>
      </c>
      <c r="L10" s="1">
        <v>87.33824628702</v>
      </c>
      <c r="M10">
        <v>65</v>
      </c>
      <c r="N10" t="str">
        <f t="shared" si="0"/>
        <v>A</v>
      </c>
      <c r="O10" t="str">
        <f t="shared" si="1"/>
        <v>长期</v>
      </c>
    </row>
    <row r="11" spans="1:15">
      <c r="A11" s="3" t="s">
        <v>18</v>
      </c>
      <c r="B11">
        <v>39108647.88</v>
      </c>
      <c r="C11">
        <v>1550384.16000001</v>
      </c>
      <c r="D11">
        <v>113655014.38</v>
      </c>
      <c r="E11">
        <v>3409650.48</v>
      </c>
      <c r="F11">
        <v>1222145.24625</v>
      </c>
      <c r="G11">
        <v>48449.5050000003</v>
      </c>
      <c r="H11">
        <v>170482.524</v>
      </c>
      <c r="I11">
        <v>5682750.719</v>
      </c>
      <c r="L11">
        <v>87.7235666309353</v>
      </c>
      <c r="M11">
        <v>65</v>
      </c>
      <c r="N11" t="str">
        <f t="shared" si="0"/>
        <v>A</v>
      </c>
      <c r="O11" t="str">
        <f t="shared" si="1"/>
        <v>长期</v>
      </c>
    </row>
    <row r="12" spans="1:15">
      <c r="A12" s="2" t="s">
        <v>19</v>
      </c>
      <c r="B12">
        <v>3928745.50000001</v>
      </c>
      <c r="C12">
        <v>366483.889999999</v>
      </c>
      <c r="D12">
        <v>122815469.980001</v>
      </c>
      <c r="E12">
        <v>7368930.26999993</v>
      </c>
      <c r="F12">
        <v>109131.819444444</v>
      </c>
      <c r="G12">
        <v>10180.1080555555</v>
      </c>
      <c r="H12">
        <v>199160.277567565</v>
      </c>
      <c r="I12">
        <v>3319337.02648652</v>
      </c>
      <c r="L12">
        <v>84.9920609609507</v>
      </c>
      <c r="M12">
        <v>66</v>
      </c>
      <c r="N12" t="str">
        <f t="shared" si="0"/>
        <v>B</v>
      </c>
      <c r="O12" t="str">
        <f t="shared" si="1"/>
        <v>中期</v>
      </c>
    </row>
    <row r="13" spans="1:15">
      <c r="A13" s="2" t="s">
        <v>20</v>
      </c>
      <c r="B13">
        <v>24565279.4499999</v>
      </c>
      <c r="C13">
        <v>1815677.99000002</v>
      </c>
      <c r="D13">
        <v>135537558.519999</v>
      </c>
      <c r="E13">
        <v>7758321.60999998</v>
      </c>
      <c r="F13">
        <v>792428.369354837</v>
      </c>
      <c r="G13">
        <v>58570.2577419363</v>
      </c>
      <c r="H13">
        <v>215508.93361111</v>
      </c>
      <c r="I13">
        <v>3764932.1811111</v>
      </c>
      <c r="L13">
        <v>85.6498703292139</v>
      </c>
      <c r="M13">
        <v>65</v>
      </c>
      <c r="N13" t="str">
        <f t="shared" si="0"/>
        <v>A</v>
      </c>
      <c r="O13" t="str">
        <f t="shared" si="1"/>
        <v>长期</v>
      </c>
    </row>
    <row r="14" spans="1:15">
      <c r="A14" s="2" t="s">
        <v>21</v>
      </c>
      <c r="B14">
        <v>114520005.26</v>
      </c>
      <c r="C14">
        <v>17590003.9899999</v>
      </c>
      <c r="D14">
        <v>116652185.36</v>
      </c>
      <c r="E14">
        <v>17913039.6399999</v>
      </c>
      <c r="F14">
        <v>4090000.18785715</v>
      </c>
      <c r="G14">
        <v>628214.428214285</v>
      </c>
      <c r="H14">
        <v>639751.415714282</v>
      </c>
      <c r="I14">
        <v>4166149.47714285</v>
      </c>
      <c r="L14">
        <v>86.5588613505893</v>
      </c>
      <c r="M14">
        <v>65</v>
      </c>
      <c r="N14" t="str">
        <f t="shared" si="0"/>
        <v>A</v>
      </c>
      <c r="O14" t="str">
        <f t="shared" si="1"/>
        <v>长期</v>
      </c>
    </row>
    <row r="15" spans="1:15">
      <c r="A15" s="2" t="s">
        <v>22</v>
      </c>
      <c r="B15">
        <v>103268584.529998</v>
      </c>
      <c r="C15">
        <v>5032857.25000005</v>
      </c>
      <c r="D15">
        <v>143264372.919999</v>
      </c>
      <c r="E15">
        <v>10273700.1799999</v>
      </c>
      <c r="F15">
        <v>2791042.8251351</v>
      </c>
      <c r="G15">
        <v>136023.16891892</v>
      </c>
      <c r="H15">
        <v>342456.672666666</v>
      </c>
      <c r="I15">
        <v>4775479.09733333</v>
      </c>
      <c r="L15">
        <v>86.954600524069</v>
      </c>
      <c r="M15">
        <v>65</v>
      </c>
      <c r="N15" t="str">
        <f t="shared" si="0"/>
        <v>A</v>
      </c>
      <c r="O15" t="str">
        <f t="shared" si="1"/>
        <v>长期</v>
      </c>
    </row>
    <row r="16" spans="1:15">
      <c r="A16" s="3" t="s">
        <v>23</v>
      </c>
      <c r="B16">
        <v>20785662.7299999</v>
      </c>
      <c r="C16">
        <v>3089352.78</v>
      </c>
      <c r="D16">
        <v>107831741.029999</v>
      </c>
      <c r="E16">
        <v>16309564.9199999</v>
      </c>
      <c r="F16">
        <v>577379.520277777</v>
      </c>
      <c r="G16">
        <v>85815.355</v>
      </c>
      <c r="H16">
        <v>453043.469999999</v>
      </c>
      <c r="I16">
        <v>2995326.13972221</v>
      </c>
      <c r="L16">
        <v>84.1268563974589</v>
      </c>
      <c r="M16">
        <v>66</v>
      </c>
      <c r="N16" t="str">
        <f t="shared" si="0"/>
        <v>B</v>
      </c>
      <c r="O16" t="str">
        <f t="shared" si="1"/>
        <v>中期</v>
      </c>
    </row>
    <row r="17" spans="1:15">
      <c r="A17" s="3" t="s">
        <v>24</v>
      </c>
      <c r="B17">
        <v>1210488.04</v>
      </c>
      <c r="C17">
        <v>83520.9099999999</v>
      </c>
      <c r="D17">
        <v>187713527.390001</v>
      </c>
      <c r="E17">
        <v>9394778.16</v>
      </c>
      <c r="F17">
        <v>33624.6677777777</v>
      </c>
      <c r="G17">
        <v>2320.02527777777</v>
      </c>
      <c r="H17">
        <v>260966.06</v>
      </c>
      <c r="I17">
        <v>5214264.64972226</v>
      </c>
      <c r="L17">
        <v>86.5145583001111</v>
      </c>
      <c r="M17">
        <v>65</v>
      </c>
      <c r="N17" t="str">
        <f t="shared" si="0"/>
        <v>A</v>
      </c>
      <c r="O17" t="str">
        <f t="shared" si="1"/>
        <v>长期</v>
      </c>
    </row>
    <row r="18" spans="1:15">
      <c r="A18" s="2" t="s">
        <v>25</v>
      </c>
      <c r="B18">
        <v>6926522.32000004</v>
      </c>
      <c r="C18">
        <v>471902.369999998</v>
      </c>
      <c r="D18">
        <v>182429033.05</v>
      </c>
      <c r="E18">
        <v>5764632.93000001</v>
      </c>
      <c r="F18">
        <v>192403.397777778</v>
      </c>
      <c r="G18">
        <v>13108.3991666666</v>
      </c>
      <c r="H18">
        <v>155800.89</v>
      </c>
      <c r="I18">
        <v>4930514.40675676</v>
      </c>
      <c r="L18">
        <v>86.6699716455516</v>
      </c>
      <c r="M18">
        <v>65</v>
      </c>
      <c r="N18" t="str">
        <f t="shared" si="0"/>
        <v>A</v>
      </c>
      <c r="O18" t="str">
        <f t="shared" si="1"/>
        <v>长期</v>
      </c>
    </row>
    <row r="19" spans="1:15">
      <c r="A19" s="2" t="s">
        <v>26</v>
      </c>
      <c r="B19">
        <v>39177009.1499999</v>
      </c>
      <c r="C19">
        <v>1871435.00999999</v>
      </c>
      <c r="D19">
        <v>159374968.2</v>
      </c>
      <c r="E19">
        <v>2465075.42999999</v>
      </c>
      <c r="F19">
        <v>1088250.25416666</v>
      </c>
      <c r="G19">
        <v>51984.3058333332</v>
      </c>
      <c r="H19">
        <v>70430.7265714285</v>
      </c>
      <c r="I19">
        <v>4553570.52</v>
      </c>
      <c r="L19">
        <v>86.9582421259815</v>
      </c>
      <c r="M19">
        <v>65</v>
      </c>
      <c r="N19" t="str">
        <f t="shared" si="0"/>
        <v>A</v>
      </c>
      <c r="O19" t="str">
        <f t="shared" si="1"/>
        <v>长期</v>
      </c>
    </row>
    <row r="20" spans="1:15">
      <c r="A20" s="2" t="s">
        <v>27</v>
      </c>
      <c r="B20">
        <v>49328650.8599998</v>
      </c>
      <c r="C20">
        <v>6671160.96999999</v>
      </c>
      <c r="D20">
        <v>97267679.6399994</v>
      </c>
      <c r="E20">
        <v>9490952.80000001</v>
      </c>
      <c r="F20">
        <v>1333206.77999999</v>
      </c>
      <c r="G20">
        <v>180301.647837837</v>
      </c>
      <c r="H20">
        <v>256512.237837838</v>
      </c>
      <c r="I20">
        <v>2628856.20648647</v>
      </c>
      <c r="L20">
        <v>84.811000980017</v>
      </c>
      <c r="M20">
        <v>66</v>
      </c>
      <c r="N20" t="str">
        <f t="shared" si="0"/>
        <v>B</v>
      </c>
      <c r="O20" t="str">
        <f t="shared" si="1"/>
        <v>中期</v>
      </c>
    </row>
    <row r="21" spans="1:15">
      <c r="A21" s="2" t="s">
        <v>28</v>
      </c>
      <c r="B21">
        <v>32709212.2599998</v>
      </c>
      <c r="C21">
        <v>3599340.06999999</v>
      </c>
      <c r="D21">
        <v>90439864.4399992</v>
      </c>
      <c r="E21">
        <v>12508662.4199999</v>
      </c>
      <c r="F21">
        <v>860768.743684207</v>
      </c>
      <c r="G21">
        <v>94719.4755263157</v>
      </c>
      <c r="H21">
        <v>338071.957297297</v>
      </c>
      <c r="I21">
        <v>2444320.66054052</v>
      </c>
      <c r="L21">
        <v>84.0945230810043</v>
      </c>
      <c r="M21">
        <v>66</v>
      </c>
      <c r="N21" t="str">
        <f t="shared" si="0"/>
        <v>B</v>
      </c>
      <c r="O21" t="str">
        <f t="shared" si="1"/>
        <v>中期</v>
      </c>
    </row>
    <row r="22" spans="1:15">
      <c r="A22" s="2" t="s">
        <v>29</v>
      </c>
      <c r="B22">
        <v>8662197.31000004</v>
      </c>
      <c r="C22">
        <v>679421.430000003</v>
      </c>
      <c r="D22">
        <v>104168305.739999</v>
      </c>
      <c r="E22">
        <v>5277011.56000007</v>
      </c>
      <c r="F22">
        <v>288739.910333334</v>
      </c>
      <c r="G22">
        <v>22647.3810000001</v>
      </c>
      <c r="H22">
        <v>195444.872592595</v>
      </c>
      <c r="I22">
        <v>3858085.39777775</v>
      </c>
      <c r="L22">
        <v>85.5836086879637</v>
      </c>
      <c r="M22">
        <v>65</v>
      </c>
      <c r="N22" t="str">
        <f t="shared" si="0"/>
        <v>A</v>
      </c>
      <c r="O22" t="str">
        <f t="shared" si="1"/>
        <v>长期</v>
      </c>
    </row>
    <row r="23" spans="1:15">
      <c r="A23" s="2" t="s">
        <v>30</v>
      </c>
      <c r="B23">
        <v>112976762.78</v>
      </c>
      <c r="C23">
        <v>16045011.6</v>
      </c>
      <c r="D23">
        <v>117569720.06</v>
      </c>
      <c r="E23">
        <v>16468807.7</v>
      </c>
      <c r="F23">
        <v>3053426.02108108</v>
      </c>
      <c r="G23">
        <v>433648.962162162</v>
      </c>
      <c r="H23">
        <v>445102.910810811</v>
      </c>
      <c r="I23">
        <v>3177560.00162163</v>
      </c>
      <c r="L23">
        <v>85.643160796053</v>
      </c>
      <c r="M23">
        <v>65</v>
      </c>
      <c r="N23" t="str">
        <f t="shared" si="0"/>
        <v>A</v>
      </c>
      <c r="O23" t="str">
        <f t="shared" si="1"/>
        <v>长期</v>
      </c>
    </row>
    <row r="24" spans="1:15">
      <c r="A24" s="2" t="s">
        <v>31</v>
      </c>
      <c r="B24">
        <v>123019829.789998</v>
      </c>
      <c r="C24">
        <v>14308340.3199998</v>
      </c>
      <c r="D24">
        <v>131110608.429999</v>
      </c>
      <c r="E24">
        <v>12005924.01</v>
      </c>
      <c r="F24">
        <v>3324860.26459455</v>
      </c>
      <c r="G24">
        <v>386711.900540537</v>
      </c>
      <c r="H24">
        <v>324484.432702704</v>
      </c>
      <c r="I24">
        <v>3543529.95756756</v>
      </c>
      <c r="L24">
        <v>86.4055232683118</v>
      </c>
      <c r="M24">
        <v>65</v>
      </c>
      <c r="N24" t="str">
        <f t="shared" si="0"/>
        <v>A</v>
      </c>
      <c r="O24" t="str">
        <f t="shared" si="1"/>
        <v>长期</v>
      </c>
    </row>
    <row r="25" spans="1:15">
      <c r="A25" s="2" t="s">
        <v>32</v>
      </c>
      <c r="B25">
        <v>147605710.199996</v>
      </c>
      <c r="C25">
        <v>8798001.87999984</v>
      </c>
      <c r="D25">
        <v>187669783.070001</v>
      </c>
      <c r="E25">
        <v>12147320.2600001</v>
      </c>
      <c r="F25">
        <v>3989343.51891881</v>
      </c>
      <c r="G25">
        <v>237783.83459459</v>
      </c>
      <c r="H25">
        <v>337425.562777781</v>
      </c>
      <c r="I25">
        <v>5213049.52972226</v>
      </c>
      <c r="L25">
        <v>87.9362017920104</v>
      </c>
      <c r="M25">
        <v>65</v>
      </c>
      <c r="N25" t="str">
        <f t="shared" si="0"/>
        <v>A</v>
      </c>
      <c r="O25" t="str">
        <f t="shared" si="1"/>
        <v>长期</v>
      </c>
    </row>
    <row r="26" spans="1:15">
      <c r="A26" s="2" t="s">
        <v>33</v>
      </c>
      <c r="B26">
        <v>28869945.2799999</v>
      </c>
      <c r="C26">
        <v>1361156.05</v>
      </c>
      <c r="D26">
        <v>80568173.1699999</v>
      </c>
      <c r="E26">
        <v>4028422.11999999</v>
      </c>
      <c r="F26">
        <v>801942.924444443</v>
      </c>
      <c r="G26">
        <v>37809.8902777778</v>
      </c>
      <c r="H26">
        <v>236966.007058823</v>
      </c>
      <c r="I26">
        <v>4739304.30411764</v>
      </c>
      <c r="L26">
        <v>86.4614227064334</v>
      </c>
      <c r="M26">
        <v>65</v>
      </c>
      <c r="N26" t="str">
        <f t="shared" si="0"/>
        <v>A</v>
      </c>
      <c r="O26" t="str">
        <f t="shared" si="1"/>
        <v>长期</v>
      </c>
    </row>
    <row r="27" spans="1:15">
      <c r="A27" s="2" t="s">
        <v>34</v>
      </c>
      <c r="B27">
        <v>566820.35</v>
      </c>
      <c r="C27">
        <v>70629.5899999999</v>
      </c>
      <c r="D27">
        <v>101240606.26</v>
      </c>
      <c r="E27">
        <v>5917340.40000005</v>
      </c>
      <c r="F27">
        <v>16671.1867647058</v>
      </c>
      <c r="G27">
        <v>2077.34088235294</v>
      </c>
      <c r="H27">
        <v>227590.015384617</v>
      </c>
      <c r="I27">
        <v>3893869.47153848</v>
      </c>
      <c r="L27">
        <v>85.3908037376637</v>
      </c>
      <c r="M27">
        <v>65</v>
      </c>
      <c r="N27" t="str">
        <f t="shared" si="0"/>
        <v>A</v>
      </c>
      <c r="O27" t="str">
        <f t="shared" si="1"/>
        <v>长期</v>
      </c>
    </row>
    <row r="28" spans="1:15">
      <c r="A28" s="2" t="s">
        <v>35</v>
      </c>
      <c r="B28">
        <v>83207437.3499997</v>
      </c>
      <c r="C28">
        <v>5091848.71999998</v>
      </c>
      <c r="D28">
        <v>114258375.139999</v>
      </c>
      <c r="E28">
        <v>9017054.16</v>
      </c>
      <c r="F28">
        <v>2248849.6581081</v>
      </c>
      <c r="G28">
        <v>137617.532972972</v>
      </c>
      <c r="H28">
        <v>250473.726666666</v>
      </c>
      <c r="I28">
        <v>3173843.75388888</v>
      </c>
      <c r="L28">
        <v>85.5781719916596</v>
      </c>
      <c r="M28">
        <v>65</v>
      </c>
      <c r="N28" t="str">
        <f t="shared" si="0"/>
        <v>A</v>
      </c>
      <c r="O28" t="str">
        <f t="shared" si="1"/>
        <v>长期</v>
      </c>
    </row>
    <row r="29" spans="1:15">
      <c r="A29" s="2" t="s">
        <v>36</v>
      </c>
      <c r="B29">
        <v>10289917.6999999</v>
      </c>
      <c r="C29">
        <v>1565224.77999999</v>
      </c>
      <c r="D29">
        <v>102421152.95</v>
      </c>
      <c r="E29">
        <v>6409986.19</v>
      </c>
      <c r="F29">
        <v>331932.829032257</v>
      </c>
      <c r="G29">
        <v>50491.1219354838</v>
      </c>
      <c r="H29">
        <v>278695.05173913</v>
      </c>
      <c r="I29">
        <v>4453093.60652174</v>
      </c>
      <c r="L29">
        <v>85.9184259503815</v>
      </c>
      <c r="M29">
        <v>65</v>
      </c>
      <c r="N29" t="str">
        <f t="shared" si="0"/>
        <v>A</v>
      </c>
      <c r="O29" t="str">
        <f t="shared" si="1"/>
        <v>长期</v>
      </c>
    </row>
    <row r="30" spans="1:15">
      <c r="A30" s="2" t="s">
        <v>37</v>
      </c>
      <c r="B30">
        <v>6302403.62999999</v>
      </c>
      <c r="C30">
        <v>302209.329999999</v>
      </c>
      <c r="D30">
        <v>119611727.989999</v>
      </c>
      <c r="E30">
        <v>6985860.97000001</v>
      </c>
      <c r="F30">
        <v>170335.233243243</v>
      </c>
      <c r="G30">
        <v>8167.81972972972</v>
      </c>
      <c r="H30">
        <v>188807.053243243</v>
      </c>
      <c r="I30">
        <v>3232749.40513512</v>
      </c>
      <c r="L30">
        <v>84.9624287121526</v>
      </c>
      <c r="M30">
        <v>66</v>
      </c>
      <c r="N30" t="str">
        <f t="shared" si="0"/>
        <v>B</v>
      </c>
      <c r="O30" t="str">
        <f t="shared" si="1"/>
        <v>中期</v>
      </c>
    </row>
    <row r="31" spans="1:15">
      <c r="A31" s="3" t="s">
        <v>38</v>
      </c>
      <c r="B31">
        <v>87916.3599999999</v>
      </c>
      <c r="C31">
        <v>5160.64</v>
      </c>
      <c r="D31">
        <v>241023767.76</v>
      </c>
      <c r="E31">
        <v>13643334.52</v>
      </c>
      <c r="F31">
        <v>4884.24222222221</v>
      </c>
      <c r="G31">
        <v>286.702222222222</v>
      </c>
      <c r="H31">
        <v>454777.817333333</v>
      </c>
      <c r="I31">
        <v>8034125.592</v>
      </c>
      <c r="L31">
        <v>88.4609145685663</v>
      </c>
      <c r="M31">
        <v>65</v>
      </c>
      <c r="N31" t="str">
        <f t="shared" si="0"/>
        <v>A</v>
      </c>
      <c r="O31" t="str">
        <f t="shared" si="1"/>
        <v>长期</v>
      </c>
    </row>
    <row r="32" spans="1:15">
      <c r="A32" s="2" t="s">
        <v>39</v>
      </c>
      <c r="B32">
        <v>123056747.009999</v>
      </c>
      <c r="C32">
        <v>18601093.54</v>
      </c>
      <c r="D32">
        <v>74457899.3299998</v>
      </c>
      <c r="E32">
        <v>11318417.1499999</v>
      </c>
      <c r="F32">
        <v>4101891.56699997</v>
      </c>
      <c r="G32">
        <v>620036.451333334</v>
      </c>
      <c r="H32">
        <v>377280.571666666</v>
      </c>
      <c r="I32">
        <v>2481929.97766666</v>
      </c>
      <c r="L32">
        <v>85.8305535871078</v>
      </c>
      <c r="M32">
        <v>65</v>
      </c>
      <c r="N32" t="str">
        <f t="shared" si="0"/>
        <v>A</v>
      </c>
      <c r="O32" t="str">
        <f t="shared" si="1"/>
        <v>长期</v>
      </c>
    </row>
    <row r="33" spans="1:15">
      <c r="A33" s="3" t="s">
        <v>40</v>
      </c>
      <c r="B33">
        <v>74244539.66</v>
      </c>
      <c r="C33">
        <v>11420228.0199999</v>
      </c>
      <c r="D33">
        <v>78595786.98</v>
      </c>
      <c r="E33">
        <v>11887635.87</v>
      </c>
      <c r="F33">
        <v>2969781.5864</v>
      </c>
      <c r="G33">
        <v>456809.120799999</v>
      </c>
      <c r="H33">
        <v>475505.4348</v>
      </c>
      <c r="I33">
        <v>3143831.4792</v>
      </c>
      <c r="L33">
        <v>85.5181671817814</v>
      </c>
      <c r="M33">
        <v>65</v>
      </c>
      <c r="N33" t="str">
        <f t="shared" si="0"/>
        <v>A</v>
      </c>
      <c r="O33" t="str">
        <f t="shared" si="1"/>
        <v>长期</v>
      </c>
    </row>
    <row r="34" spans="1:15">
      <c r="A34" s="3" t="s">
        <v>41</v>
      </c>
      <c r="B34">
        <v>2141865.01999999</v>
      </c>
      <c r="C34">
        <v>95920.5799999998</v>
      </c>
      <c r="D34">
        <v>153867406.21</v>
      </c>
      <c r="E34">
        <v>4784901.76999999</v>
      </c>
      <c r="F34">
        <v>66933.2818749999</v>
      </c>
      <c r="G34">
        <v>2997.51812499999</v>
      </c>
      <c r="H34">
        <v>140732.404999999</v>
      </c>
      <c r="I34">
        <v>4525511.94735295</v>
      </c>
      <c r="L34">
        <v>86.2848886439418</v>
      </c>
      <c r="M34">
        <v>65</v>
      </c>
      <c r="N34" t="str">
        <f t="shared" si="0"/>
        <v>A</v>
      </c>
      <c r="O34" t="str">
        <f t="shared" si="1"/>
        <v>长期</v>
      </c>
    </row>
    <row r="35" spans="1:15">
      <c r="A35" s="2" t="s">
        <v>42</v>
      </c>
      <c r="B35">
        <v>47908999.5900001</v>
      </c>
      <c r="C35">
        <v>5164477.69999999</v>
      </c>
      <c r="D35">
        <v>67116525.7599994</v>
      </c>
      <c r="E35">
        <v>5244617.17999995</v>
      </c>
      <c r="F35">
        <v>1294837.82675676</v>
      </c>
      <c r="G35">
        <v>139580.478378378</v>
      </c>
      <c r="H35">
        <v>154253.446470586</v>
      </c>
      <c r="I35">
        <v>1974015.46352939</v>
      </c>
      <c r="L35">
        <v>78.4600317848348</v>
      </c>
      <c r="M35">
        <v>66</v>
      </c>
      <c r="N35" t="str">
        <f t="shared" si="0"/>
        <v>B</v>
      </c>
      <c r="O35" t="str">
        <f t="shared" si="1"/>
        <v>中期</v>
      </c>
    </row>
    <row r="36" spans="1:15">
      <c r="A36" s="2" t="s">
        <v>43</v>
      </c>
      <c r="B36">
        <v>62683706.16</v>
      </c>
      <c r="C36">
        <v>2282348.1</v>
      </c>
      <c r="D36">
        <v>79121019.3900008</v>
      </c>
      <c r="E36">
        <v>5746692.49000002</v>
      </c>
      <c r="F36">
        <v>2022055.03741935</v>
      </c>
      <c r="G36">
        <v>73624.1322580646</v>
      </c>
      <c r="H36">
        <v>205239.0175</v>
      </c>
      <c r="I36">
        <v>2825750.69250003</v>
      </c>
      <c r="L36">
        <v>85.2311778545792</v>
      </c>
      <c r="M36">
        <v>65</v>
      </c>
      <c r="N36" t="str">
        <f t="shared" si="0"/>
        <v>A</v>
      </c>
      <c r="O36" t="str">
        <f t="shared" si="1"/>
        <v>长期</v>
      </c>
    </row>
    <row r="37" spans="1:15">
      <c r="A37" s="3" t="s">
        <v>44</v>
      </c>
      <c r="B37">
        <v>66228852.2300002</v>
      </c>
      <c r="C37">
        <v>3752638.07999997</v>
      </c>
      <c r="D37">
        <v>103171771.589999</v>
      </c>
      <c r="E37">
        <v>8911354.12999999</v>
      </c>
      <c r="F37">
        <v>2136414.58806452</v>
      </c>
      <c r="G37">
        <v>121052.841290321</v>
      </c>
      <c r="H37">
        <v>254610.117999999</v>
      </c>
      <c r="I37">
        <v>2947764.90257142</v>
      </c>
      <c r="L37">
        <v>85.2910078927296</v>
      </c>
      <c r="M37">
        <v>65</v>
      </c>
      <c r="N37" t="str">
        <f t="shared" si="0"/>
        <v>A</v>
      </c>
      <c r="O37" t="str">
        <f t="shared" si="1"/>
        <v>长期</v>
      </c>
    </row>
    <row r="38" spans="1:15">
      <c r="A38" s="2" t="s">
        <v>45</v>
      </c>
      <c r="B38">
        <v>150164582.909999</v>
      </c>
      <c r="C38">
        <v>19731054.08</v>
      </c>
      <c r="D38">
        <v>222833468.579998</v>
      </c>
      <c r="E38">
        <v>26243201.1999998</v>
      </c>
      <c r="F38">
        <v>4058502.24081078</v>
      </c>
      <c r="G38">
        <v>533271.731891892</v>
      </c>
      <c r="H38">
        <v>709275.708108105</v>
      </c>
      <c r="I38">
        <v>6022526.17783778</v>
      </c>
      <c r="L38">
        <v>87.9167864502428</v>
      </c>
      <c r="M38">
        <v>65</v>
      </c>
      <c r="N38" t="str">
        <f t="shared" si="0"/>
        <v>A</v>
      </c>
      <c r="O38" t="str">
        <f t="shared" si="1"/>
        <v>长期</v>
      </c>
    </row>
    <row r="39" spans="1:15">
      <c r="A39" s="2" t="s">
        <v>46</v>
      </c>
      <c r="B39">
        <v>879826.76</v>
      </c>
      <c r="C39">
        <v>83363.8</v>
      </c>
      <c r="D39">
        <v>153900098.87</v>
      </c>
      <c r="E39">
        <v>6231793.00999999</v>
      </c>
      <c r="F39">
        <v>25877.2576470588</v>
      </c>
      <c r="G39">
        <v>2451.87647058823</v>
      </c>
      <c r="H39">
        <v>188842.212424242</v>
      </c>
      <c r="I39">
        <v>4663639.35969697</v>
      </c>
      <c r="L39">
        <v>86.2394944868234</v>
      </c>
      <c r="M39">
        <v>65</v>
      </c>
      <c r="N39" t="str">
        <f t="shared" si="0"/>
        <v>A</v>
      </c>
      <c r="O39" t="str">
        <f t="shared" si="1"/>
        <v>长期</v>
      </c>
    </row>
    <row r="40" spans="1:15">
      <c r="A40" s="2" t="s">
        <v>47</v>
      </c>
      <c r="B40">
        <v>133517857.639999</v>
      </c>
      <c r="C40">
        <v>9805021.00999995</v>
      </c>
      <c r="D40">
        <v>136961159.18</v>
      </c>
      <c r="E40">
        <v>14290920.11</v>
      </c>
      <c r="F40">
        <v>3513627.83263156</v>
      </c>
      <c r="G40">
        <v>258026.868684209</v>
      </c>
      <c r="H40">
        <v>396970.003055555</v>
      </c>
      <c r="I40">
        <v>3804476.64388889</v>
      </c>
      <c r="L40">
        <v>86.2832041838906</v>
      </c>
      <c r="M40">
        <v>65</v>
      </c>
      <c r="N40" t="str">
        <f t="shared" si="0"/>
        <v>A</v>
      </c>
      <c r="O40" t="str">
        <f t="shared" si="1"/>
        <v>长期</v>
      </c>
    </row>
    <row r="41" spans="1:15">
      <c r="A41" s="2" t="s">
        <v>48</v>
      </c>
      <c r="B41">
        <v>75117230.5399995</v>
      </c>
      <c r="C41">
        <v>8249428.0299999</v>
      </c>
      <c r="D41">
        <v>130693646.52</v>
      </c>
      <c r="E41">
        <v>12839868.69</v>
      </c>
      <c r="F41">
        <v>1976769.22473682</v>
      </c>
      <c r="G41">
        <v>217090.211315787</v>
      </c>
      <c r="H41">
        <v>356663.019166667</v>
      </c>
      <c r="I41">
        <v>3630379.07</v>
      </c>
      <c r="L41">
        <v>85.6840305399271</v>
      </c>
      <c r="M41">
        <v>65</v>
      </c>
      <c r="N41" t="str">
        <f t="shared" si="0"/>
        <v>A</v>
      </c>
      <c r="O41" t="str">
        <f t="shared" si="1"/>
        <v>长期</v>
      </c>
    </row>
    <row r="42" spans="1:15">
      <c r="A42" s="3" t="s">
        <v>49</v>
      </c>
      <c r="B42">
        <v>70610100.7400002</v>
      </c>
      <c r="C42">
        <v>5159107.19999991</v>
      </c>
      <c r="D42">
        <v>119829636.73</v>
      </c>
      <c r="E42">
        <v>10909595.43</v>
      </c>
      <c r="F42">
        <v>1961391.68722222</v>
      </c>
      <c r="G42">
        <v>143308.53333333</v>
      </c>
      <c r="H42">
        <v>303044.3175</v>
      </c>
      <c r="I42">
        <v>3328601.02027779</v>
      </c>
      <c r="L42">
        <v>85.4638890036094</v>
      </c>
      <c r="M42">
        <v>65</v>
      </c>
      <c r="N42" t="str">
        <f t="shared" si="0"/>
        <v>A</v>
      </c>
      <c r="O42" t="str">
        <f t="shared" si="1"/>
        <v>长期</v>
      </c>
    </row>
    <row r="43" spans="1:15">
      <c r="A43" s="2" t="s">
        <v>50</v>
      </c>
      <c r="B43">
        <v>86924609.0200003</v>
      </c>
      <c r="C43">
        <v>6057477.53999992</v>
      </c>
      <c r="D43">
        <v>114219774.23</v>
      </c>
      <c r="E43">
        <v>8299683.15999992</v>
      </c>
      <c r="F43">
        <v>2349313.7572973</v>
      </c>
      <c r="G43">
        <v>163715.609189187</v>
      </c>
      <c r="H43">
        <v>224315.761081079</v>
      </c>
      <c r="I43">
        <v>3087020.92513515</v>
      </c>
      <c r="L43">
        <v>85.6545542944124</v>
      </c>
      <c r="M43">
        <v>65</v>
      </c>
      <c r="N43" t="str">
        <f t="shared" si="0"/>
        <v>A</v>
      </c>
      <c r="O43" t="str">
        <f t="shared" si="1"/>
        <v>长期</v>
      </c>
    </row>
    <row r="44" spans="1:15">
      <c r="A44" s="2" t="s">
        <v>51</v>
      </c>
      <c r="B44">
        <v>2927643.39</v>
      </c>
      <c r="C44">
        <v>262797.22</v>
      </c>
      <c r="D44">
        <v>77618674.3000014</v>
      </c>
      <c r="E44">
        <v>3825407.09000007</v>
      </c>
      <c r="F44">
        <v>100953.220344827</v>
      </c>
      <c r="G44">
        <v>9061.97310344827</v>
      </c>
      <c r="H44">
        <v>127513.569666669</v>
      </c>
      <c r="I44">
        <v>2587289.14333338</v>
      </c>
      <c r="L44">
        <v>84.540384013393</v>
      </c>
      <c r="M44">
        <v>66</v>
      </c>
      <c r="N44" t="str">
        <f t="shared" si="0"/>
        <v>B</v>
      </c>
      <c r="O44" t="str">
        <f t="shared" si="1"/>
        <v>中期</v>
      </c>
    </row>
    <row r="45" spans="1:15">
      <c r="A45" s="2" t="s">
        <v>52</v>
      </c>
      <c r="B45">
        <v>138709711.309999</v>
      </c>
      <c r="C45">
        <v>19590998.27</v>
      </c>
      <c r="D45">
        <v>119627824.72</v>
      </c>
      <c r="E45">
        <v>18211388.5599999</v>
      </c>
      <c r="F45">
        <v>3748911.11648647</v>
      </c>
      <c r="G45">
        <v>529486.43972973</v>
      </c>
      <c r="H45">
        <v>492199.69081081</v>
      </c>
      <c r="I45">
        <v>3233184.4518919</v>
      </c>
      <c r="L45">
        <v>85.9108643610084</v>
      </c>
      <c r="M45">
        <v>65</v>
      </c>
      <c r="N45" t="str">
        <f t="shared" si="0"/>
        <v>A</v>
      </c>
      <c r="O45" t="str">
        <f t="shared" si="1"/>
        <v>长期</v>
      </c>
    </row>
    <row r="46" spans="1:15">
      <c r="A46" s="2" t="s">
        <v>53</v>
      </c>
      <c r="B46">
        <v>1361564.02999999</v>
      </c>
      <c r="C46">
        <v>119545.229999999</v>
      </c>
      <c r="D46">
        <v>90209902.9099999</v>
      </c>
      <c r="E46">
        <v>2740094.04999999</v>
      </c>
      <c r="F46">
        <v>123778.548181817</v>
      </c>
      <c r="G46">
        <v>10867.7481818181</v>
      </c>
      <c r="H46">
        <v>94486.0017241379</v>
      </c>
      <c r="I46">
        <v>3110686.30724137</v>
      </c>
      <c r="L46">
        <v>85.1466083099401</v>
      </c>
      <c r="M46">
        <v>65</v>
      </c>
      <c r="N46" t="str">
        <f t="shared" si="0"/>
        <v>A</v>
      </c>
      <c r="O46" t="str">
        <f t="shared" si="1"/>
        <v>长期</v>
      </c>
    </row>
    <row r="47" spans="1:15">
      <c r="A47" s="2" t="s">
        <v>54</v>
      </c>
      <c r="B47">
        <v>75301296.5300004</v>
      </c>
      <c r="C47">
        <v>4024343.81999997</v>
      </c>
      <c r="D47">
        <v>114831443.15</v>
      </c>
      <c r="E47">
        <v>7225117.62999994</v>
      </c>
      <c r="F47">
        <v>2035170.17648649</v>
      </c>
      <c r="G47">
        <v>108766.049189188</v>
      </c>
      <c r="H47">
        <v>195273.449459457</v>
      </c>
      <c r="I47">
        <v>3103552.51756758</v>
      </c>
      <c r="L47">
        <v>78.5809815281207</v>
      </c>
      <c r="M47">
        <v>66</v>
      </c>
      <c r="N47" t="str">
        <f t="shared" si="0"/>
        <v>B</v>
      </c>
      <c r="O47" t="str">
        <f t="shared" si="1"/>
        <v>中期</v>
      </c>
    </row>
    <row r="48" spans="1:15">
      <c r="A48" s="2" t="s">
        <v>55</v>
      </c>
      <c r="B48">
        <v>32194310.3999999</v>
      </c>
      <c r="C48">
        <v>1694009.72</v>
      </c>
      <c r="D48">
        <v>71763015.63</v>
      </c>
      <c r="E48">
        <v>6102579.77</v>
      </c>
      <c r="F48">
        <v>946891.482352941</v>
      </c>
      <c r="G48">
        <v>49823.8152941177</v>
      </c>
      <c r="H48">
        <v>226021.472962963</v>
      </c>
      <c r="I48">
        <v>2657889.46777778</v>
      </c>
      <c r="L48">
        <v>84.6196989656634</v>
      </c>
      <c r="M48">
        <v>66</v>
      </c>
      <c r="N48" t="str">
        <f t="shared" si="0"/>
        <v>B</v>
      </c>
      <c r="O48" t="str">
        <f t="shared" si="1"/>
        <v>中期</v>
      </c>
    </row>
    <row r="49" spans="1:15">
      <c r="A49" s="2" t="s">
        <v>56</v>
      </c>
      <c r="B49">
        <v>45206539.1499998</v>
      </c>
      <c r="C49">
        <v>1532873.97</v>
      </c>
      <c r="D49">
        <v>104409268.07</v>
      </c>
      <c r="E49">
        <v>6264559.06999994</v>
      </c>
      <c r="F49">
        <v>1189645.76710526</v>
      </c>
      <c r="G49">
        <v>40338.7886842106</v>
      </c>
      <c r="H49">
        <v>169312.407297295</v>
      </c>
      <c r="I49">
        <v>2821872.11000001</v>
      </c>
      <c r="L49">
        <v>74.0235989249091</v>
      </c>
      <c r="M49">
        <v>67</v>
      </c>
      <c r="N49" t="str">
        <f t="shared" si="0"/>
        <v>C</v>
      </c>
      <c r="O49" t="str">
        <f t="shared" si="1"/>
        <v>短期</v>
      </c>
    </row>
    <row r="50" spans="1:15">
      <c r="A50" s="2" t="s">
        <v>57</v>
      </c>
      <c r="B50">
        <v>41265979.1799999</v>
      </c>
      <c r="C50">
        <v>5239750.59</v>
      </c>
      <c r="D50">
        <v>74903266.5900004</v>
      </c>
      <c r="E50">
        <v>6874446.07</v>
      </c>
      <c r="F50">
        <v>1115296.73459459</v>
      </c>
      <c r="G50">
        <v>141614.88081081</v>
      </c>
      <c r="H50">
        <v>185795.839729729</v>
      </c>
      <c r="I50">
        <v>2024412.61054055</v>
      </c>
      <c r="L50">
        <v>84.3492951892614</v>
      </c>
      <c r="M50">
        <v>66</v>
      </c>
      <c r="N50" t="str">
        <f t="shared" si="0"/>
        <v>B</v>
      </c>
      <c r="O50" t="str">
        <f t="shared" si="1"/>
        <v>中期</v>
      </c>
    </row>
    <row r="51" spans="1:15">
      <c r="A51" s="2" t="s">
        <v>58</v>
      </c>
      <c r="B51">
        <v>105941230.409999</v>
      </c>
      <c r="C51">
        <v>16598615.5299999</v>
      </c>
      <c r="D51">
        <v>106836324.76</v>
      </c>
      <c r="E51">
        <v>16890808.74</v>
      </c>
      <c r="F51">
        <v>2863276.49756756</v>
      </c>
      <c r="G51">
        <v>448611.23054054</v>
      </c>
      <c r="H51">
        <v>456508.344324326</v>
      </c>
      <c r="I51">
        <v>2887468.23675677</v>
      </c>
      <c r="L51">
        <v>85.2932331370241</v>
      </c>
      <c r="M51">
        <v>65</v>
      </c>
      <c r="N51" t="str">
        <f t="shared" si="0"/>
        <v>A</v>
      </c>
      <c r="O51" t="str">
        <f t="shared" si="1"/>
        <v>长期</v>
      </c>
    </row>
    <row r="52" spans="1:15">
      <c r="A52" s="2" t="s">
        <v>59</v>
      </c>
      <c r="B52">
        <v>75632024.7699998</v>
      </c>
      <c r="C52">
        <v>11242915.6399999</v>
      </c>
      <c r="D52">
        <v>91150036.8500001</v>
      </c>
      <c r="E52">
        <v>14085670.1</v>
      </c>
      <c r="F52">
        <v>2224471.3167647</v>
      </c>
      <c r="G52">
        <v>330673.989411764</v>
      </c>
      <c r="H52">
        <v>426838.487878788</v>
      </c>
      <c r="I52">
        <v>2762122.32878788</v>
      </c>
      <c r="L52">
        <v>84.8907039412769</v>
      </c>
      <c r="M52">
        <v>66</v>
      </c>
      <c r="N52" t="str">
        <f t="shared" si="0"/>
        <v>B</v>
      </c>
      <c r="O52" t="str">
        <f t="shared" si="1"/>
        <v>中期</v>
      </c>
    </row>
    <row r="53" spans="1:15">
      <c r="A53" s="2" t="s">
        <v>60</v>
      </c>
      <c r="B53">
        <v>78364272.3899997</v>
      </c>
      <c r="C53">
        <v>10754814.6899999</v>
      </c>
      <c r="D53">
        <v>74001823.9899999</v>
      </c>
      <c r="E53">
        <v>11138818.4599999</v>
      </c>
      <c r="F53">
        <v>2062217.69447367</v>
      </c>
      <c r="G53">
        <v>283021.439210524</v>
      </c>
      <c r="H53">
        <v>371293.948666665</v>
      </c>
      <c r="I53">
        <v>2466727.46633333</v>
      </c>
      <c r="L53">
        <v>84.6732393464955</v>
      </c>
      <c r="M53">
        <v>66</v>
      </c>
      <c r="N53" t="str">
        <f t="shared" si="0"/>
        <v>B</v>
      </c>
      <c r="O53" t="str">
        <f t="shared" si="1"/>
        <v>中期</v>
      </c>
    </row>
    <row r="54" spans="1:15">
      <c r="A54" s="2" t="s">
        <v>61</v>
      </c>
      <c r="B54">
        <v>4288780.69000003</v>
      </c>
      <c r="C54">
        <v>493693.950000003</v>
      </c>
      <c r="D54">
        <v>83492525.7999999</v>
      </c>
      <c r="E54">
        <v>12740274.9899999</v>
      </c>
      <c r="F54">
        <v>112862.649736843</v>
      </c>
      <c r="G54">
        <v>12991.9460526316</v>
      </c>
      <c r="H54">
        <v>335270.394473683</v>
      </c>
      <c r="I54">
        <v>2197171.73157894</v>
      </c>
      <c r="L54">
        <v>83.5151398797766</v>
      </c>
      <c r="M54">
        <v>66</v>
      </c>
      <c r="N54" t="str">
        <f t="shared" si="0"/>
        <v>B</v>
      </c>
      <c r="O54" t="str">
        <f t="shared" si="1"/>
        <v>中期</v>
      </c>
    </row>
    <row r="55" spans="1:15">
      <c r="A55" s="2" t="s">
        <v>62</v>
      </c>
      <c r="B55">
        <v>70911921.5699997</v>
      </c>
      <c r="C55">
        <v>8497784.40999995</v>
      </c>
      <c r="D55">
        <v>97717360.9500023</v>
      </c>
      <c r="E55">
        <v>7272440.28000002</v>
      </c>
      <c r="F55">
        <v>1916538.4208108</v>
      </c>
      <c r="G55">
        <v>229669.848918917</v>
      </c>
      <c r="H55">
        <v>279709.241538462</v>
      </c>
      <c r="I55">
        <v>3758360.03653855</v>
      </c>
      <c r="L55">
        <v>86.056739839765</v>
      </c>
      <c r="M55">
        <v>65</v>
      </c>
      <c r="N55" t="str">
        <f t="shared" si="0"/>
        <v>A</v>
      </c>
      <c r="O55" t="str">
        <f t="shared" si="1"/>
        <v>长期</v>
      </c>
    </row>
    <row r="56" spans="1:15">
      <c r="A56" s="2" t="s">
        <v>63</v>
      </c>
      <c r="B56">
        <v>80109910.1899999</v>
      </c>
      <c r="C56">
        <v>11774830.2499999</v>
      </c>
      <c r="D56">
        <v>78541364.3799999</v>
      </c>
      <c r="E56">
        <v>11709203.44</v>
      </c>
      <c r="F56">
        <v>2225275.28305555</v>
      </c>
      <c r="G56">
        <v>327078.618055555</v>
      </c>
      <c r="H56">
        <v>316464.95783784</v>
      </c>
      <c r="I56">
        <v>2122739.57783783</v>
      </c>
      <c r="L56">
        <v>84.6480314595412</v>
      </c>
      <c r="M56">
        <v>66</v>
      </c>
      <c r="N56" t="str">
        <f t="shared" si="0"/>
        <v>B</v>
      </c>
      <c r="O56" t="str">
        <f t="shared" si="1"/>
        <v>中期</v>
      </c>
    </row>
    <row r="57" spans="1:15">
      <c r="A57" s="2" t="s">
        <v>64</v>
      </c>
      <c r="B57">
        <v>36358548.2499997</v>
      </c>
      <c r="C57">
        <v>1419716.64</v>
      </c>
      <c r="D57">
        <v>60347261.5699993</v>
      </c>
      <c r="E57">
        <v>4746491.05999997</v>
      </c>
      <c r="F57">
        <v>1038815.6642857</v>
      </c>
      <c r="G57">
        <v>40563.3325714287</v>
      </c>
      <c r="H57">
        <v>158216.368666665</v>
      </c>
      <c r="I57">
        <v>2011575.38566664</v>
      </c>
      <c r="L57">
        <v>84.253877495766</v>
      </c>
      <c r="M57">
        <v>66</v>
      </c>
      <c r="N57" t="str">
        <f t="shared" si="0"/>
        <v>B</v>
      </c>
      <c r="O57" t="str">
        <f t="shared" si="1"/>
        <v>中期</v>
      </c>
    </row>
    <row r="58" spans="1:15">
      <c r="A58" s="2" t="s">
        <v>65</v>
      </c>
      <c r="B58">
        <v>63091063.2600002</v>
      </c>
      <c r="C58">
        <v>8771750.45999998</v>
      </c>
      <c r="D58">
        <v>74087731.4699999</v>
      </c>
      <c r="E58">
        <v>11375308.4499999</v>
      </c>
      <c r="F58">
        <v>1660291.13842106</v>
      </c>
      <c r="G58">
        <v>230835.538421052</v>
      </c>
      <c r="H58">
        <v>299350.22236842</v>
      </c>
      <c r="I58">
        <v>1949677.14394736</v>
      </c>
      <c r="L58">
        <v>74.217748341335</v>
      </c>
      <c r="M58">
        <v>67</v>
      </c>
      <c r="N58" t="str">
        <f t="shared" si="0"/>
        <v>C</v>
      </c>
      <c r="O58" t="str">
        <f t="shared" si="1"/>
        <v>短期</v>
      </c>
    </row>
    <row r="59" spans="1:15">
      <c r="A59" s="2" t="s">
        <v>66</v>
      </c>
      <c r="B59">
        <v>86445982.11</v>
      </c>
      <c r="C59">
        <v>11392602.82</v>
      </c>
      <c r="D59">
        <v>76977567.9699999</v>
      </c>
      <c r="E59">
        <v>10694869.0299999</v>
      </c>
      <c r="F59">
        <v>2336377.89486486</v>
      </c>
      <c r="G59">
        <v>307908.184324325</v>
      </c>
      <c r="H59">
        <v>289050.514324324</v>
      </c>
      <c r="I59">
        <v>2080474.80999999</v>
      </c>
      <c r="L59">
        <v>84.7058940841748</v>
      </c>
      <c r="M59">
        <v>66</v>
      </c>
      <c r="N59" t="str">
        <f t="shared" si="0"/>
        <v>B</v>
      </c>
      <c r="O59" t="str">
        <f t="shared" si="1"/>
        <v>中期</v>
      </c>
    </row>
    <row r="60" spans="1:15">
      <c r="A60" s="2" t="s">
        <v>67</v>
      </c>
      <c r="B60">
        <v>73259105.4199998</v>
      </c>
      <c r="C60">
        <v>11246121.6299999</v>
      </c>
      <c r="D60">
        <v>77437981.47</v>
      </c>
      <c r="E60">
        <v>12129874.12</v>
      </c>
      <c r="F60">
        <v>1979975.82216215</v>
      </c>
      <c r="G60">
        <v>303949.233243242</v>
      </c>
      <c r="H60">
        <v>327834.435675676</v>
      </c>
      <c r="I60">
        <v>2092918.41810811</v>
      </c>
      <c r="L60">
        <v>84.4695504012493</v>
      </c>
      <c r="M60">
        <v>66</v>
      </c>
      <c r="N60" t="str">
        <f t="shared" si="0"/>
        <v>B</v>
      </c>
      <c r="O60" t="str">
        <f t="shared" si="1"/>
        <v>中期</v>
      </c>
    </row>
    <row r="61" spans="1:15">
      <c r="A61" s="2" t="s">
        <v>68</v>
      </c>
      <c r="B61">
        <v>25830954.6199999</v>
      </c>
      <c r="C61">
        <v>1624076.54</v>
      </c>
      <c r="D61">
        <v>65085708.1399994</v>
      </c>
      <c r="E61">
        <v>4643359.97999997</v>
      </c>
      <c r="F61">
        <v>759733.959411764</v>
      </c>
      <c r="G61">
        <v>47766.9570588236</v>
      </c>
      <c r="H61">
        <v>125496.215675675</v>
      </c>
      <c r="I61">
        <v>1759073.19297295</v>
      </c>
      <c r="L61">
        <v>84.0449537797171</v>
      </c>
      <c r="M61">
        <v>66</v>
      </c>
      <c r="N61" t="str">
        <f t="shared" si="0"/>
        <v>B</v>
      </c>
      <c r="O61" t="str">
        <f t="shared" si="1"/>
        <v>中期</v>
      </c>
    </row>
    <row r="62" spans="1:15">
      <c r="A62" s="2" t="s">
        <v>69</v>
      </c>
      <c r="B62">
        <v>37934598.8099999</v>
      </c>
      <c r="C62">
        <v>3608097.38999998</v>
      </c>
      <c r="D62">
        <v>53005659.1299999</v>
      </c>
      <c r="E62">
        <v>4446443.93</v>
      </c>
      <c r="F62">
        <v>1185456.21281249</v>
      </c>
      <c r="G62">
        <v>112753.043437499</v>
      </c>
      <c r="H62">
        <v>148214.797666666</v>
      </c>
      <c r="I62">
        <v>1766855.30433333</v>
      </c>
      <c r="L62">
        <v>84.2112340786771</v>
      </c>
      <c r="M62">
        <v>66</v>
      </c>
      <c r="N62" t="str">
        <f t="shared" si="0"/>
        <v>B</v>
      </c>
      <c r="O62" t="str">
        <f t="shared" si="1"/>
        <v>中期</v>
      </c>
    </row>
    <row r="63" spans="1:15">
      <c r="A63" s="2" t="s">
        <v>70</v>
      </c>
      <c r="B63">
        <v>704949.16</v>
      </c>
      <c r="C63">
        <v>83734.98</v>
      </c>
      <c r="D63">
        <v>96329021.7100001</v>
      </c>
      <c r="E63">
        <v>4920246.04999995</v>
      </c>
      <c r="F63">
        <v>32043.1436363636</v>
      </c>
      <c r="G63">
        <v>3806.13545454545</v>
      </c>
      <c r="H63">
        <v>164008.201666665</v>
      </c>
      <c r="I63">
        <v>3210967.39033333</v>
      </c>
      <c r="L63">
        <v>84.971773672679</v>
      </c>
      <c r="M63">
        <v>66</v>
      </c>
      <c r="N63" t="str">
        <f t="shared" si="0"/>
        <v>B</v>
      </c>
      <c r="O63" t="str">
        <f t="shared" si="1"/>
        <v>中期</v>
      </c>
    </row>
    <row r="64" spans="1:15">
      <c r="A64" s="2" t="s">
        <v>71</v>
      </c>
      <c r="B64">
        <v>2932725.38999999</v>
      </c>
      <c r="C64">
        <v>209153.86</v>
      </c>
      <c r="D64">
        <v>83555221.12</v>
      </c>
      <c r="E64">
        <v>2452098.88000005</v>
      </c>
      <c r="F64">
        <v>88870.4663636362</v>
      </c>
      <c r="G64">
        <v>6337.99575757575</v>
      </c>
      <c r="H64">
        <v>79099.9638709694</v>
      </c>
      <c r="I64">
        <v>2695329.71354838</v>
      </c>
      <c r="L64">
        <v>84.7911572537848</v>
      </c>
      <c r="M64">
        <v>66</v>
      </c>
      <c r="N64" t="str">
        <f t="shared" si="0"/>
        <v>B</v>
      </c>
      <c r="O64" t="str">
        <f t="shared" si="1"/>
        <v>中期</v>
      </c>
    </row>
    <row r="65" spans="1:15">
      <c r="A65" s="3" t="s">
        <v>72</v>
      </c>
      <c r="B65">
        <v>73590154.5299997</v>
      </c>
      <c r="C65">
        <v>5207991.80999996</v>
      </c>
      <c r="D65">
        <v>3403409.07</v>
      </c>
      <c r="E65">
        <v>283836.67</v>
      </c>
      <c r="F65">
        <v>2943606.18119998</v>
      </c>
      <c r="G65">
        <v>208319.672399998</v>
      </c>
      <c r="H65">
        <v>11353.4668</v>
      </c>
      <c r="I65">
        <v>136136.3628</v>
      </c>
      <c r="L65">
        <v>83.8356601382894</v>
      </c>
      <c r="M65">
        <v>66</v>
      </c>
      <c r="N65" t="str">
        <f t="shared" si="0"/>
        <v>B</v>
      </c>
      <c r="O65" t="str">
        <f t="shared" si="1"/>
        <v>中期</v>
      </c>
    </row>
    <row r="66" spans="1:15">
      <c r="A66" s="2" t="s">
        <v>73</v>
      </c>
      <c r="B66">
        <v>78297103.6499997</v>
      </c>
      <c r="C66">
        <v>11974467.1499999</v>
      </c>
      <c r="D66">
        <v>80713142.8099999</v>
      </c>
      <c r="E66">
        <v>11135374.33</v>
      </c>
      <c r="F66">
        <v>2116137.93648648</v>
      </c>
      <c r="G66">
        <v>323634.247297297</v>
      </c>
      <c r="H66">
        <v>300956.062972973</v>
      </c>
      <c r="I66">
        <v>2181436.29216216</v>
      </c>
      <c r="L66">
        <v>84.7129732361279</v>
      </c>
      <c r="M66">
        <v>66</v>
      </c>
      <c r="N66" t="str">
        <f t="shared" si="0"/>
        <v>B</v>
      </c>
      <c r="O66" t="str">
        <f t="shared" si="1"/>
        <v>中期</v>
      </c>
    </row>
    <row r="67" spans="1:15">
      <c r="A67" s="2" t="s">
        <v>74</v>
      </c>
      <c r="B67">
        <v>29298497.03</v>
      </c>
      <c r="C67">
        <v>3336937.66</v>
      </c>
      <c r="D67">
        <v>50709690.2699998</v>
      </c>
      <c r="E67">
        <v>3943515.96999997</v>
      </c>
      <c r="F67">
        <v>791851.271081081</v>
      </c>
      <c r="G67">
        <v>90187.5043243244</v>
      </c>
      <c r="H67">
        <v>123234.874062499</v>
      </c>
      <c r="I67">
        <v>1584677.82093749</v>
      </c>
      <c r="L67">
        <v>73.9620843378489</v>
      </c>
      <c r="M67">
        <v>67</v>
      </c>
      <c r="N67" t="str">
        <f t="shared" ref="N67:N130" si="2">_xlfn.SWITCH(M67,65,"A",66,"B",67,"C",68,"D")</f>
        <v>C</v>
      </c>
      <c r="O67" t="str">
        <f t="shared" ref="O67:O130" si="3">_xlfn.SWITCH(N67,"A","长期","B","中期","C","短期","D","不提供借贷")</f>
        <v>短期</v>
      </c>
    </row>
    <row r="68" spans="1:15">
      <c r="A68" s="2" t="s">
        <v>75</v>
      </c>
      <c r="B68">
        <v>1530211.55999999</v>
      </c>
      <c r="C68">
        <v>150712.509999999</v>
      </c>
      <c r="D68">
        <v>119934393.79</v>
      </c>
      <c r="E68">
        <v>3332842.90999999</v>
      </c>
      <c r="F68">
        <v>52765.9158620689</v>
      </c>
      <c r="G68">
        <v>5196.98310344827</v>
      </c>
      <c r="H68">
        <v>98024.7914705881</v>
      </c>
      <c r="I68">
        <v>3527482.17029412</v>
      </c>
      <c r="L68">
        <v>85.4925288088048</v>
      </c>
      <c r="M68">
        <v>65</v>
      </c>
      <c r="N68" t="str">
        <f t="shared" si="2"/>
        <v>A</v>
      </c>
      <c r="O68" t="str">
        <f t="shared" si="3"/>
        <v>长期</v>
      </c>
    </row>
    <row r="69" spans="1:15">
      <c r="A69" s="2" t="s">
        <v>76</v>
      </c>
      <c r="B69">
        <v>260874688.749999</v>
      </c>
      <c r="C69">
        <v>43228963.4400001</v>
      </c>
      <c r="D69">
        <v>256138436.25</v>
      </c>
      <c r="E69">
        <v>42394545.1699983</v>
      </c>
      <c r="F69">
        <v>7050667.26351349</v>
      </c>
      <c r="G69">
        <v>1168350.36324324</v>
      </c>
      <c r="H69">
        <v>1461880.86793097</v>
      </c>
      <c r="I69">
        <v>8832359.87068966</v>
      </c>
      <c r="L69">
        <v>89.9645896259023</v>
      </c>
      <c r="M69">
        <v>65</v>
      </c>
      <c r="N69" t="str">
        <f t="shared" si="2"/>
        <v>A</v>
      </c>
      <c r="O69" t="str">
        <f t="shared" si="3"/>
        <v>长期</v>
      </c>
    </row>
    <row r="70" spans="1:15">
      <c r="A70" s="2" t="s">
        <v>77</v>
      </c>
      <c r="B70">
        <v>17311335.93</v>
      </c>
      <c r="C70">
        <v>1584591.47</v>
      </c>
      <c r="D70">
        <v>42118600.17</v>
      </c>
      <c r="E70">
        <v>2783251.69</v>
      </c>
      <c r="F70">
        <v>824349.33</v>
      </c>
      <c r="G70">
        <v>75456.7366666666</v>
      </c>
      <c r="H70">
        <v>154625.093888888</v>
      </c>
      <c r="I70">
        <v>2339922.23166666</v>
      </c>
      <c r="L70">
        <v>84.5538689291624</v>
      </c>
      <c r="M70">
        <v>66</v>
      </c>
      <c r="N70" t="str">
        <f t="shared" si="2"/>
        <v>B</v>
      </c>
      <c r="O70" t="str">
        <f t="shared" si="3"/>
        <v>中期</v>
      </c>
    </row>
    <row r="71" spans="1:15">
      <c r="A71" s="3" t="s">
        <v>78</v>
      </c>
      <c r="B71">
        <v>17081342.11</v>
      </c>
      <c r="C71">
        <v>2464452.59999999</v>
      </c>
      <c r="D71">
        <v>122316829.730005</v>
      </c>
      <c r="E71">
        <v>19475957.0099999</v>
      </c>
      <c r="F71">
        <v>474481.725277778</v>
      </c>
      <c r="G71">
        <v>68457.0166666665</v>
      </c>
      <c r="H71">
        <v>540998.805833331</v>
      </c>
      <c r="I71">
        <v>3397689.71472236</v>
      </c>
      <c r="L71">
        <v>84.1529412948101</v>
      </c>
      <c r="M71">
        <v>66</v>
      </c>
      <c r="N71" t="str">
        <f t="shared" si="2"/>
        <v>B</v>
      </c>
      <c r="O71" t="str">
        <f t="shared" si="3"/>
        <v>中期</v>
      </c>
    </row>
    <row r="72" spans="1:15">
      <c r="A72" s="2" t="s">
        <v>79</v>
      </c>
      <c r="B72">
        <v>10830459.66</v>
      </c>
      <c r="C72">
        <v>1051733.36</v>
      </c>
      <c r="D72">
        <v>88972764.6099999</v>
      </c>
      <c r="E72">
        <v>25554.4799999999</v>
      </c>
      <c r="F72">
        <v>328195.74727273</v>
      </c>
      <c r="G72">
        <v>31870.7078787879</v>
      </c>
      <c r="H72">
        <v>774.378181818181</v>
      </c>
      <c r="I72">
        <v>2696144.3821212</v>
      </c>
      <c r="L72">
        <v>85.1639587297886</v>
      </c>
      <c r="M72">
        <v>65</v>
      </c>
      <c r="N72" t="str">
        <f t="shared" si="2"/>
        <v>A</v>
      </c>
      <c r="O72" t="str">
        <f t="shared" si="3"/>
        <v>长期</v>
      </c>
    </row>
    <row r="73" spans="1:15">
      <c r="A73" s="2" t="s">
        <v>80</v>
      </c>
      <c r="B73">
        <v>75544254.35</v>
      </c>
      <c r="C73">
        <v>11409144.4999999</v>
      </c>
      <c r="D73">
        <v>109903508.15</v>
      </c>
      <c r="E73">
        <v>17492551.9799999</v>
      </c>
      <c r="F73">
        <v>2041736.60405405</v>
      </c>
      <c r="G73">
        <v>308355.256756756</v>
      </c>
      <c r="H73">
        <v>472771.675135134</v>
      </c>
      <c r="I73">
        <v>2970365.08513514</v>
      </c>
      <c r="L73">
        <v>84.8423797068131</v>
      </c>
      <c r="M73">
        <v>66</v>
      </c>
      <c r="N73" t="str">
        <f t="shared" si="2"/>
        <v>B</v>
      </c>
      <c r="O73" t="str">
        <f t="shared" si="3"/>
        <v>中期</v>
      </c>
    </row>
    <row r="74" spans="1:15">
      <c r="A74" s="2" t="s">
        <v>81</v>
      </c>
      <c r="B74">
        <v>42300386.1999999</v>
      </c>
      <c r="C74">
        <v>6527192.32</v>
      </c>
      <c r="D74">
        <v>72526203.1200001</v>
      </c>
      <c r="E74">
        <v>10816642.6299999</v>
      </c>
      <c r="F74">
        <v>1113168.05789473</v>
      </c>
      <c r="G74">
        <v>171768.218947368</v>
      </c>
      <c r="H74">
        <v>284648.490263156</v>
      </c>
      <c r="I74">
        <v>1908584.29263158</v>
      </c>
      <c r="L74">
        <v>83.9641837680009</v>
      </c>
      <c r="M74">
        <v>66</v>
      </c>
      <c r="N74" t="str">
        <f t="shared" si="2"/>
        <v>B</v>
      </c>
      <c r="O74" t="str">
        <f t="shared" si="3"/>
        <v>中期</v>
      </c>
    </row>
    <row r="75" spans="1:15">
      <c r="A75" s="2" t="s">
        <v>82</v>
      </c>
      <c r="B75">
        <v>101054533.129999</v>
      </c>
      <c r="C75">
        <v>14797429.5999997</v>
      </c>
      <c r="D75">
        <v>181712080.290004</v>
      </c>
      <c r="E75">
        <v>27315020.3900002</v>
      </c>
      <c r="F75">
        <v>2972192.15088234</v>
      </c>
      <c r="G75">
        <v>435218.517647052</v>
      </c>
      <c r="H75">
        <v>803382.952647067</v>
      </c>
      <c r="I75">
        <v>5344472.94970601</v>
      </c>
      <c r="L75">
        <v>86.4564173954045</v>
      </c>
      <c r="M75">
        <v>65</v>
      </c>
      <c r="N75" t="str">
        <f t="shared" si="2"/>
        <v>A</v>
      </c>
      <c r="O75" t="str">
        <f t="shared" si="3"/>
        <v>长期</v>
      </c>
    </row>
    <row r="76" spans="1:15">
      <c r="A76" s="2" t="s">
        <v>83</v>
      </c>
      <c r="B76">
        <v>57938852.8999999</v>
      </c>
      <c r="C76">
        <v>8484249.91999995</v>
      </c>
      <c r="D76">
        <v>57406622.7199999</v>
      </c>
      <c r="E76">
        <v>8529256.77000001</v>
      </c>
      <c r="F76">
        <v>1565914.94324324</v>
      </c>
      <c r="G76">
        <v>229304.05189189</v>
      </c>
      <c r="H76">
        <v>258462.326363636</v>
      </c>
      <c r="I76">
        <v>1739594.62787878</v>
      </c>
      <c r="L76">
        <v>84.1216111253941</v>
      </c>
      <c r="M76">
        <v>66</v>
      </c>
      <c r="N76" t="str">
        <f t="shared" si="2"/>
        <v>B</v>
      </c>
      <c r="O76" t="str">
        <f t="shared" si="3"/>
        <v>中期</v>
      </c>
    </row>
    <row r="77" spans="1:15">
      <c r="A77" s="2" t="s">
        <v>84</v>
      </c>
      <c r="B77">
        <v>160238.8</v>
      </c>
      <c r="C77">
        <v>9573.42999999999</v>
      </c>
      <c r="D77">
        <v>59575542.0900005</v>
      </c>
      <c r="E77">
        <v>2592265.62000005</v>
      </c>
      <c r="F77">
        <v>8902.15555555555</v>
      </c>
      <c r="G77">
        <v>531.857222222222</v>
      </c>
      <c r="H77">
        <v>172817.708000003</v>
      </c>
      <c r="I77">
        <v>3971702.80600003</v>
      </c>
      <c r="L77">
        <v>85.6390665216151</v>
      </c>
      <c r="M77">
        <v>65</v>
      </c>
      <c r="N77" t="str">
        <f t="shared" si="2"/>
        <v>A</v>
      </c>
      <c r="O77" t="str">
        <f t="shared" si="3"/>
        <v>长期</v>
      </c>
    </row>
    <row r="78" spans="1:15">
      <c r="A78" s="3" t="s">
        <v>85</v>
      </c>
      <c r="B78">
        <v>47469657.04</v>
      </c>
      <c r="C78">
        <v>7178023.95</v>
      </c>
      <c r="D78">
        <v>47163293.4499998</v>
      </c>
      <c r="E78">
        <v>7266965.99999999</v>
      </c>
      <c r="F78">
        <v>1318601.58444444</v>
      </c>
      <c r="G78">
        <v>199389.554166666</v>
      </c>
      <c r="H78">
        <v>213734.294117647</v>
      </c>
      <c r="I78">
        <v>1387155.68970587</v>
      </c>
      <c r="L78">
        <v>83.8142067864062</v>
      </c>
      <c r="M78">
        <v>66</v>
      </c>
      <c r="N78" t="str">
        <f t="shared" si="2"/>
        <v>B</v>
      </c>
      <c r="O78" t="str">
        <f t="shared" si="3"/>
        <v>中期</v>
      </c>
    </row>
    <row r="79" spans="1:15">
      <c r="A79" s="2" t="s">
        <v>86</v>
      </c>
      <c r="B79">
        <v>39212850.35</v>
      </c>
      <c r="C79">
        <v>4557219.62</v>
      </c>
      <c r="D79">
        <v>48047952.4799999</v>
      </c>
      <c r="E79">
        <v>4565706.91999999</v>
      </c>
      <c r="F79">
        <v>1089245.84305555</v>
      </c>
      <c r="G79">
        <v>126589.433888888</v>
      </c>
      <c r="H79">
        <v>123397.484324324</v>
      </c>
      <c r="I79">
        <v>1298593.31027026</v>
      </c>
      <c r="L79">
        <v>73.8435348337774</v>
      </c>
      <c r="M79">
        <v>67</v>
      </c>
      <c r="N79" t="str">
        <f t="shared" si="2"/>
        <v>C</v>
      </c>
      <c r="O79" t="str">
        <f t="shared" si="3"/>
        <v>短期</v>
      </c>
    </row>
    <row r="80" spans="1:15">
      <c r="A80" s="3" t="s">
        <v>87</v>
      </c>
      <c r="B80">
        <v>10387155.82</v>
      </c>
      <c r="C80">
        <v>983374.050000001</v>
      </c>
      <c r="D80">
        <v>99269637.6000013</v>
      </c>
      <c r="E80">
        <v>7545585.20000009</v>
      </c>
      <c r="F80">
        <v>305504.582941176</v>
      </c>
      <c r="G80">
        <v>28922.7661764706</v>
      </c>
      <c r="H80">
        <v>235799.537500002</v>
      </c>
      <c r="I80">
        <v>3102176.17500004</v>
      </c>
      <c r="L80">
        <v>84.7618672946514</v>
      </c>
      <c r="M80">
        <v>66</v>
      </c>
      <c r="N80" t="str">
        <f t="shared" si="2"/>
        <v>B</v>
      </c>
      <c r="O80" t="str">
        <f t="shared" si="3"/>
        <v>中期</v>
      </c>
    </row>
    <row r="81" spans="1:15">
      <c r="A81" s="2" t="s">
        <v>88</v>
      </c>
      <c r="B81">
        <v>23399488.06</v>
      </c>
      <c r="C81">
        <v>1686706.88</v>
      </c>
      <c r="D81">
        <v>47646507.1799996</v>
      </c>
      <c r="E81">
        <v>4163358.30999999</v>
      </c>
      <c r="F81">
        <v>688220.237058825</v>
      </c>
      <c r="G81">
        <v>49609.025882353</v>
      </c>
      <c r="H81">
        <v>122451.714999999</v>
      </c>
      <c r="I81">
        <v>1401367.85823528</v>
      </c>
      <c r="L81">
        <v>83.7011196625862</v>
      </c>
      <c r="M81">
        <v>66</v>
      </c>
      <c r="N81" t="str">
        <f t="shared" si="2"/>
        <v>B</v>
      </c>
      <c r="O81" t="str">
        <f t="shared" si="3"/>
        <v>中期</v>
      </c>
    </row>
    <row r="82" spans="1:15">
      <c r="A82" s="2" t="s">
        <v>89</v>
      </c>
      <c r="B82">
        <v>57409981.4299996</v>
      </c>
      <c r="C82">
        <v>8348100.22999991</v>
      </c>
      <c r="D82">
        <v>92091768.2800002</v>
      </c>
      <c r="E82">
        <v>11558861.17</v>
      </c>
      <c r="F82">
        <v>1551621.11972971</v>
      </c>
      <c r="G82">
        <v>225624.330540538</v>
      </c>
      <c r="H82">
        <v>312401.653243243</v>
      </c>
      <c r="I82">
        <v>2488966.71027027</v>
      </c>
      <c r="L82">
        <v>84.6356886284817</v>
      </c>
      <c r="M82">
        <v>66</v>
      </c>
      <c r="N82" t="str">
        <f t="shared" si="2"/>
        <v>B</v>
      </c>
      <c r="O82" t="str">
        <f t="shared" si="3"/>
        <v>中期</v>
      </c>
    </row>
    <row r="83" spans="1:15">
      <c r="A83" s="3" t="s">
        <v>90</v>
      </c>
      <c r="B83">
        <v>23934662.51</v>
      </c>
      <c r="C83">
        <v>3545447.98999999</v>
      </c>
      <c r="D83">
        <v>74253216.71</v>
      </c>
      <c r="E83">
        <v>11741790.49</v>
      </c>
      <c r="F83">
        <v>886468.981851851</v>
      </c>
      <c r="G83">
        <v>131312.888518518</v>
      </c>
      <c r="H83">
        <v>326160.846944444</v>
      </c>
      <c r="I83">
        <v>2062589.35305555</v>
      </c>
      <c r="L83">
        <v>83.8409126572181</v>
      </c>
      <c r="M83">
        <v>66</v>
      </c>
      <c r="N83" t="str">
        <f t="shared" si="2"/>
        <v>B</v>
      </c>
      <c r="O83" t="str">
        <f t="shared" si="3"/>
        <v>中期</v>
      </c>
    </row>
    <row r="84" spans="1:15">
      <c r="A84" s="2" t="s">
        <v>91</v>
      </c>
      <c r="B84">
        <v>72946880.3999999</v>
      </c>
      <c r="C84">
        <v>4367613.93000001</v>
      </c>
      <c r="D84">
        <v>96008119.4300011</v>
      </c>
      <c r="E84">
        <v>6950988.96000004</v>
      </c>
      <c r="F84">
        <v>1971537.3081081</v>
      </c>
      <c r="G84">
        <v>118043.61972973</v>
      </c>
      <c r="H84">
        <v>239689.27448276</v>
      </c>
      <c r="I84">
        <v>3310624.80793107</v>
      </c>
      <c r="L84">
        <v>85.6217032018524</v>
      </c>
      <c r="M84">
        <v>65</v>
      </c>
      <c r="N84" t="str">
        <f t="shared" si="2"/>
        <v>A</v>
      </c>
      <c r="O84" t="str">
        <f t="shared" si="3"/>
        <v>长期</v>
      </c>
    </row>
    <row r="85" spans="1:15">
      <c r="A85" s="2" t="s">
        <v>92</v>
      </c>
      <c r="B85">
        <v>72195567.2699996</v>
      </c>
      <c r="C85">
        <v>4613369.48999996</v>
      </c>
      <c r="D85">
        <v>120936342.800001</v>
      </c>
      <c r="E85">
        <v>8329154.37000003</v>
      </c>
      <c r="F85">
        <v>2328889.26677418</v>
      </c>
      <c r="G85">
        <v>148818.37064516</v>
      </c>
      <c r="H85">
        <v>260286.074062501</v>
      </c>
      <c r="I85">
        <v>3779260.71250006</v>
      </c>
      <c r="L85">
        <v>86.157235927475</v>
      </c>
      <c r="M85">
        <v>65</v>
      </c>
      <c r="N85" t="str">
        <f t="shared" si="2"/>
        <v>A</v>
      </c>
      <c r="O85" t="str">
        <f t="shared" si="3"/>
        <v>长期</v>
      </c>
    </row>
    <row r="86" spans="1:15">
      <c r="A86" s="2" t="s">
        <v>93</v>
      </c>
      <c r="B86">
        <v>75862564.9900003</v>
      </c>
      <c r="C86">
        <v>11960041.13</v>
      </c>
      <c r="D86">
        <v>75553782.0299998</v>
      </c>
      <c r="E86">
        <v>11963427.5799999</v>
      </c>
      <c r="F86">
        <v>2107293.47194445</v>
      </c>
      <c r="G86">
        <v>332223.364722222</v>
      </c>
      <c r="H86">
        <v>341812.216571428</v>
      </c>
      <c r="I86">
        <v>2158679.48657142</v>
      </c>
      <c r="L86">
        <v>84.5682740762871</v>
      </c>
      <c r="M86">
        <v>66</v>
      </c>
      <c r="N86" t="str">
        <f t="shared" si="2"/>
        <v>B</v>
      </c>
      <c r="O86" t="str">
        <f t="shared" si="3"/>
        <v>中期</v>
      </c>
    </row>
    <row r="87" spans="1:15">
      <c r="A87" s="2" t="s">
        <v>94</v>
      </c>
      <c r="B87">
        <v>43991012.2499997</v>
      </c>
      <c r="C87">
        <v>2298889.39</v>
      </c>
      <c r="D87">
        <v>65700985.1699995</v>
      </c>
      <c r="E87">
        <v>3966818.40999996</v>
      </c>
      <c r="F87">
        <v>1188946.27702701</v>
      </c>
      <c r="G87">
        <v>62132.1456756757</v>
      </c>
      <c r="H87">
        <v>113337.668857141</v>
      </c>
      <c r="I87">
        <v>1877171.00485713</v>
      </c>
      <c r="L87">
        <v>84.3546297957387</v>
      </c>
      <c r="M87">
        <v>66</v>
      </c>
      <c r="N87" t="str">
        <f t="shared" si="2"/>
        <v>B</v>
      </c>
      <c r="O87" t="str">
        <f t="shared" si="3"/>
        <v>中期</v>
      </c>
    </row>
    <row r="88" spans="1:15">
      <c r="A88" s="2" t="s">
        <v>95</v>
      </c>
      <c r="B88">
        <v>5855280.49</v>
      </c>
      <c r="C88">
        <v>325900.899999999</v>
      </c>
      <c r="D88">
        <v>53682992.7200003</v>
      </c>
      <c r="E88">
        <v>1610489.35000001</v>
      </c>
      <c r="F88">
        <v>209117.160357143</v>
      </c>
      <c r="G88">
        <v>11639.3178571428</v>
      </c>
      <c r="H88">
        <v>89471.6305555566</v>
      </c>
      <c r="I88">
        <v>2982388.48444446</v>
      </c>
      <c r="L88">
        <v>85.0722967862692</v>
      </c>
      <c r="M88">
        <v>65</v>
      </c>
      <c r="N88" t="str">
        <f t="shared" si="2"/>
        <v>A</v>
      </c>
      <c r="O88" t="str">
        <f t="shared" si="3"/>
        <v>长期</v>
      </c>
    </row>
    <row r="89" spans="1:15">
      <c r="A89" s="2" t="s">
        <v>96</v>
      </c>
      <c r="B89">
        <v>21886710.58</v>
      </c>
      <c r="C89">
        <v>691435.209999999</v>
      </c>
      <c r="D89">
        <v>49070943.9899998</v>
      </c>
      <c r="E89">
        <v>2944256.91999999</v>
      </c>
      <c r="F89">
        <v>781668.235000001</v>
      </c>
      <c r="G89">
        <v>24694.1146428571</v>
      </c>
      <c r="H89">
        <v>81784.9144444442</v>
      </c>
      <c r="I89">
        <v>1363081.77749999</v>
      </c>
      <c r="L89">
        <v>83.7904347786668</v>
      </c>
      <c r="M89">
        <v>66</v>
      </c>
      <c r="N89" t="str">
        <f t="shared" si="2"/>
        <v>B</v>
      </c>
      <c r="O89" t="str">
        <f t="shared" si="3"/>
        <v>中期</v>
      </c>
    </row>
    <row r="90" spans="1:15">
      <c r="A90" s="2" t="s">
        <v>97</v>
      </c>
      <c r="B90">
        <v>148331.11</v>
      </c>
      <c r="C90">
        <v>9112.42999999999</v>
      </c>
      <c r="D90">
        <v>76890077.7699999</v>
      </c>
      <c r="E90">
        <v>4613406.03999995</v>
      </c>
      <c r="F90">
        <v>5114.86586206896</v>
      </c>
      <c r="G90">
        <v>314.221724137931</v>
      </c>
      <c r="H90">
        <v>121405.422105261</v>
      </c>
      <c r="I90">
        <v>2023423.09921052</v>
      </c>
      <c r="L90">
        <v>83.9917091223999</v>
      </c>
      <c r="M90">
        <v>66</v>
      </c>
      <c r="N90" t="str">
        <f t="shared" si="2"/>
        <v>B</v>
      </c>
      <c r="O90" t="str">
        <f t="shared" si="3"/>
        <v>中期</v>
      </c>
    </row>
    <row r="91" spans="1:15">
      <c r="A91" s="2" t="s">
        <v>98</v>
      </c>
      <c r="B91">
        <v>45404788.9599999</v>
      </c>
      <c r="C91">
        <v>5795914.80999999</v>
      </c>
      <c r="D91">
        <v>57697215.5999997</v>
      </c>
      <c r="E91">
        <v>7619443.75999999</v>
      </c>
      <c r="F91">
        <v>1227156.45837837</v>
      </c>
      <c r="G91">
        <v>156646.346216216</v>
      </c>
      <c r="H91">
        <v>205930.912432432</v>
      </c>
      <c r="I91">
        <v>1559384.20540539</v>
      </c>
      <c r="L91">
        <v>83.9081940853504</v>
      </c>
      <c r="M91">
        <v>66</v>
      </c>
      <c r="N91" t="str">
        <f t="shared" si="2"/>
        <v>B</v>
      </c>
      <c r="O91" t="str">
        <f t="shared" si="3"/>
        <v>中期</v>
      </c>
    </row>
    <row r="92" spans="1:15">
      <c r="A92" s="2" t="s">
        <v>99</v>
      </c>
      <c r="B92">
        <v>36190186.9999999</v>
      </c>
      <c r="C92">
        <v>1819131.08</v>
      </c>
      <c r="D92">
        <v>64252383.4400001</v>
      </c>
      <c r="E92">
        <v>5279856.77000001</v>
      </c>
      <c r="F92">
        <v>1005282.97222222</v>
      </c>
      <c r="G92">
        <v>50531.4188888889</v>
      </c>
      <c r="H92">
        <v>142698.831621622</v>
      </c>
      <c r="I92">
        <v>1736550.90378378</v>
      </c>
      <c r="L92">
        <v>84.0514193606089</v>
      </c>
      <c r="M92">
        <v>66</v>
      </c>
      <c r="N92" t="str">
        <f t="shared" si="2"/>
        <v>B</v>
      </c>
      <c r="O92" t="str">
        <f t="shared" si="3"/>
        <v>中期</v>
      </c>
    </row>
    <row r="93" spans="1:15">
      <c r="A93" s="2" t="s">
        <v>100</v>
      </c>
      <c r="B93">
        <v>216474.129999999</v>
      </c>
      <c r="C93">
        <v>22480.08</v>
      </c>
      <c r="D93">
        <v>67502754.2000009</v>
      </c>
      <c r="E93">
        <v>2249484.39000003</v>
      </c>
      <c r="F93">
        <v>8658.96519999999</v>
      </c>
      <c r="G93">
        <v>899.2032</v>
      </c>
      <c r="H93">
        <v>118393.915263159</v>
      </c>
      <c r="I93">
        <v>3552776.53684215</v>
      </c>
      <c r="L93">
        <v>85.4282282949301</v>
      </c>
      <c r="M93">
        <v>65</v>
      </c>
      <c r="N93" t="str">
        <f t="shared" si="2"/>
        <v>A</v>
      </c>
      <c r="O93" t="str">
        <f t="shared" si="3"/>
        <v>长期</v>
      </c>
    </row>
    <row r="94" spans="1:15">
      <c r="A94" s="2" t="s">
        <v>101</v>
      </c>
      <c r="B94">
        <v>33287980.3099998</v>
      </c>
      <c r="C94">
        <v>2781360.79</v>
      </c>
      <c r="D94">
        <v>58325941.2499995</v>
      </c>
      <c r="E94">
        <v>5690467.71</v>
      </c>
      <c r="F94">
        <v>899675.143513509</v>
      </c>
      <c r="G94">
        <v>75171.9132432433</v>
      </c>
      <c r="H94">
        <v>177827.1159375</v>
      </c>
      <c r="I94">
        <v>1822685.66406248</v>
      </c>
      <c r="L94">
        <v>84.0199045363944</v>
      </c>
      <c r="M94">
        <v>66</v>
      </c>
      <c r="N94" t="str">
        <f t="shared" si="2"/>
        <v>B</v>
      </c>
      <c r="O94" t="str">
        <f t="shared" si="3"/>
        <v>中期</v>
      </c>
    </row>
    <row r="95" spans="1:15">
      <c r="A95" s="3" t="s">
        <v>102</v>
      </c>
      <c r="B95">
        <v>52913767.2299999</v>
      </c>
      <c r="C95">
        <v>8255463.71999999</v>
      </c>
      <c r="D95">
        <v>2434236.60999999</v>
      </c>
      <c r="E95">
        <v>406820.889999999</v>
      </c>
      <c r="F95">
        <v>2116550.68919999</v>
      </c>
      <c r="G95">
        <v>330218.548799999</v>
      </c>
      <c r="H95">
        <v>16272.8355999999</v>
      </c>
      <c r="I95">
        <v>97369.4643999999</v>
      </c>
      <c r="L95">
        <v>83.6921177007418</v>
      </c>
      <c r="M95">
        <v>66</v>
      </c>
      <c r="N95" t="str">
        <f t="shared" si="2"/>
        <v>B</v>
      </c>
      <c r="O95" t="str">
        <f t="shared" si="3"/>
        <v>中期</v>
      </c>
    </row>
    <row r="96" spans="1:15">
      <c r="A96" s="2" t="s">
        <v>103</v>
      </c>
      <c r="B96">
        <v>40801973.1599999</v>
      </c>
      <c r="C96">
        <v>2744823.71999999</v>
      </c>
      <c r="D96">
        <v>39328554.2299999</v>
      </c>
      <c r="E96">
        <v>3325168.1</v>
      </c>
      <c r="F96">
        <v>1133388.14333333</v>
      </c>
      <c r="G96">
        <v>76245.1033333332</v>
      </c>
      <c r="H96">
        <v>195598.123529411</v>
      </c>
      <c r="I96">
        <v>2313444.36647058</v>
      </c>
      <c r="L96">
        <v>84.4970980316245</v>
      </c>
      <c r="M96">
        <v>66</v>
      </c>
      <c r="N96" t="str">
        <f t="shared" si="2"/>
        <v>B</v>
      </c>
      <c r="O96" t="str">
        <f t="shared" si="3"/>
        <v>中期</v>
      </c>
    </row>
    <row r="97" spans="1:15">
      <c r="A97" s="2" t="s">
        <v>104</v>
      </c>
      <c r="B97">
        <v>35677550.2699999</v>
      </c>
      <c r="C97">
        <v>4505420.66</v>
      </c>
      <c r="D97">
        <v>35642623.9499999</v>
      </c>
      <c r="E97">
        <v>4489317.88999999</v>
      </c>
      <c r="F97">
        <v>991043.063055554</v>
      </c>
      <c r="G97">
        <v>125150.573888889</v>
      </c>
      <c r="H97">
        <v>149643.929666666</v>
      </c>
      <c r="I97">
        <v>1188087.46499999</v>
      </c>
      <c r="L97">
        <v>83.6220822892082</v>
      </c>
      <c r="M97">
        <v>66</v>
      </c>
      <c r="N97" t="str">
        <f t="shared" si="2"/>
        <v>B</v>
      </c>
      <c r="O97" t="str">
        <f t="shared" si="3"/>
        <v>中期</v>
      </c>
    </row>
    <row r="98" spans="1:15">
      <c r="A98" s="2" t="s">
        <v>105</v>
      </c>
      <c r="B98">
        <v>55190901.4400002</v>
      </c>
      <c r="C98">
        <v>3219697.47999995</v>
      </c>
      <c r="D98">
        <v>80286331.0999998</v>
      </c>
      <c r="E98">
        <v>4817181.92999994</v>
      </c>
      <c r="F98">
        <v>1491645.98486487</v>
      </c>
      <c r="G98">
        <v>87018.8508108095</v>
      </c>
      <c r="H98">
        <v>130194.106216214</v>
      </c>
      <c r="I98">
        <v>2169900.84054053</v>
      </c>
      <c r="L98">
        <v>84.7086518031983</v>
      </c>
      <c r="M98">
        <v>66</v>
      </c>
      <c r="N98" t="str">
        <f t="shared" si="2"/>
        <v>B</v>
      </c>
      <c r="O98" t="str">
        <f t="shared" si="3"/>
        <v>中期</v>
      </c>
    </row>
    <row r="99" spans="1:15">
      <c r="A99" s="2" t="s">
        <v>106</v>
      </c>
      <c r="B99">
        <v>33465961.8999998</v>
      </c>
      <c r="C99">
        <v>587776.050000002</v>
      </c>
      <c r="D99">
        <v>45971718.4099998</v>
      </c>
      <c r="E99">
        <v>2758304.26999997</v>
      </c>
      <c r="F99">
        <v>1153998.68620689</v>
      </c>
      <c r="G99">
        <v>20268.1396551725</v>
      </c>
      <c r="H99">
        <v>98510.8667857133</v>
      </c>
      <c r="I99">
        <v>1641847.08607142</v>
      </c>
      <c r="L99">
        <v>84.1100620272722</v>
      </c>
      <c r="M99">
        <v>66</v>
      </c>
      <c r="N99" t="str">
        <f t="shared" si="2"/>
        <v>B</v>
      </c>
      <c r="O99" t="str">
        <f t="shared" si="3"/>
        <v>中期</v>
      </c>
    </row>
    <row r="100" spans="1:15">
      <c r="A100" s="2" t="s">
        <v>107</v>
      </c>
      <c r="B100">
        <v>52232782.6400001</v>
      </c>
      <c r="C100">
        <v>5150173.56999996</v>
      </c>
      <c r="D100">
        <v>62615800.4100001</v>
      </c>
      <c r="E100">
        <v>6567069.30999999</v>
      </c>
      <c r="F100">
        <v>1411696.82810811</v>
      </c>
      <c r="G100">
        <v>139193.880270269</v>
      </c>
      <c r="H100">
        <v>177488.359729729</v>
      </c>
      <c r="I100">
        <v>1692318.93</v>
      </c>
      <c r="L100">
        <v>84.1584346303377</v>
      </c>
      <c r="M100">
        <v>66</v>
      </c>
      <c r="N100" t="str">
        <f t="shared" si="2"/>
        <v>B</v>
      </c>
      <c r="O100" t="str">
        <f t="shared" si="3"/>
        <v>中期</v>
      </c>
    </row>
    <row r="101" spans="1:15">
      <c r="A101" s="2" t="s">
        <v>108</v>
      </c>
      <c r="B101">
        <v>38566681.7699998</v>
      </c>
      <c r="C101">
        <v>5011658.22999999</v>
      </c>
      <c r="D101">
        <v>31385466.78</v>
      </c>
      <c r="E101">
        <v>4166713.98999999</v>
      </c>
      <c r="F101">
        <v>2029825.35631578</v>
      </c>
      <c r="G101">
        <v>263771.485789473</v>
      </c>
      <c r="H101">
        <v>245100.822941176</v>
      </c>
      <c r="I101">
        <v>1846203.92823529</v>
      </c>
      <c r="L101">
        <v>84.4653044876536</v>
      </c>
      <c r="M101">
        <v>66</v>
      </c>
      <c r="N101" t="str">
        <f t="shared" si="2"/>
        <v>B</v>
      </c>
      <c r="O101" t="str">
        <f t="shared" si="3"/>
        <v>中期</v>
      </c>
    </row>
    <row r="102" spans="1:15">
      <c r="A102" s="2" t="s">
        <v>109</v>
      </c>
      <c r="B102">
        <v>98473831.16</v>
      </c>
      <c r="C102">
        <v>15809669.68</v>
      </c>
      <c r="D102">
        <v>95946734.4999999</v>
      </c>
      <c r="E102">
        <v>15531274.53</v>
      </c>
      <c r="F102">
        <v>2661454.89621621</v>
      </c>
      <c r="G102">
        <v>427288.36972973</v>
      </c>
      <c r="H102">
        <v>419764.176486487</v>
      </c>
      <c r="I102">
        <v>2593154.98648648</v>
      </c>
      <c r="L102">
        <v>85.0404481311453</v>
      </c>
      <c r="M102">
        <v>65</v>
      </c>
      <c r="N102" t="str">
        <f t="shared" si="2"/>
        <v>A</v>
      </c>
      <c r="O102" t="str">
        <f t="shared" si="3"/>
        <v>长期</v>
      </c>
    </row>
    <row r="103" spans="1:15">
      <c r="A103" s="2" t="s">
        <v>110</v>
      </c>
      <c r="B103">
        <v>43661253.9699998</v>
      </c>
      <c r="C103">
        <v>4413649.07999998</v>
      </c>
      <c r="D103">
        <v>68686418.2399999</v>
      </c>
      <c r="E103">
        <v>6165492.69999996</v>
      </c>
      <c r="F103">
        <v>1148980.36763157</v>
      </c>
      <c r="G103">
        <v>116148.659999999</v>
      </c>
      <c r="H103">
        <v>162249.807894735</v>
      </c>
      <c r="I103">
        <v>1807537.32210526</v>
      </c>
      <c r="L103">
        <v>84.1968403743161</v>
      </c>
      <c r="M103">
        <v>66</v>
      </c>
      <c r="N103" t="str">
        <f t="shared" si="2"/>
        <v>B</v>
      </c>
      <c r="O103" t="str">
        <f t="shared" si="3"/>
        <v>中期</v>
      </c>
    </row>
    <row r="104" spans="1:15">
      <c r="A104" s="2" t="s">
        <v>111</v>
      </c>
      <c r="B104">
        <v>46066940.4599999</v>
      </c>
      <c r="C104">
        <v>5666423.39999996</v>
      </c>
      <c r="D104">
        <v>44714111.3599999</v>
      </c>
      <c r="E104">
        <v>4603371.97000001</v>
      </c>
      <c r="F104">
        <v>1439591.88937499</v>
      </c>
      <c r="G104">
        <v>177075.731249999</v>
      </c>
      <c r="H104">
        <v>153445.732333333</v>
      </c>
      <c r="I104">
        <v>1490470.37866666</v>
      </c>
      <c r="L104">
        <v>84.1122138978425</v>
      </c>
      <c r="M104">
        <v>66</v>
      </c>
      <c r="N104" t="str">
        <f t="shared" si="2"/>
        <v>B</v>
      </c>
      <c r="O104" t="str">
        <f t="shared" si="3"/>
        <v>中期</v>
      </c>
    </row>
    <row r="105" spans="1:15">
      <c r="A105" s="2" t="s">
        <v>112</v>
      </c>
      <c r="B105">
        <v>50732713.7</v>
      </c>
      <c r="C105">
        <v>4563925.4</v>
      </c>
      <c r="D105">
        <v>55848119.3499997</v>
      </c>
      <c r="E105">
        <v>4504702.64999999</v>
      </c>
      <c r="F105">
        <v>1409242.04722222</v>
      </c>
      <c r="G105">
        <v>126775.705555555</v>
      </c>
      <c r="H105">
        <v>136506.14090909</v>
      </c>
      <c r="I105">
        <v>1692367.25303029</v>
      </c>
      <c r="L105">
        <v>84.2726145290904</v>
      </c>
      <c r="M105">
        <v>66</v>
      </c>
      <c r="N105" t="str">
        <f t="shared" si="2"/>
        <v>B</v>
      </c>
      <c r="O105" t="str">
        <f t="shared" si="3"/>
        <v>中期</v>
      </c>
    </row>
    <row r="106" spans="1:15">
      <c r="A106" s="2" t="s">
        <v>113</v>
      </c>
      <c r="B106">
        <v>29703662.7799996</v>
      </c>
      <c r="C106">
        <v>3070327.14999997</v>
      </c>
      <c r="D106">
        <v>59965638.3099996</v>
      </c>
      <c r="E106">
        <v>3882154.18999995</v>
      </c>
      <c r="F106">
        <v>802801.696756746</v>
      </c>
      <c r="G106">
        <v>82981.8148648641</v>
      </c>
      <c r="H106">
        <v>104923.086216215</v>
      </c>
      <c r="I106">
        <v>1620692.92729728</v>
      </c>
      <c r="L106">
        <v>84.0479903229038</v>
      </c>
      <c r="M106">
        <v>66</v>
      </c>
      <c r="N106" t="str">
        <f t="shared" si="2"/>
        <v>B</v>
      </c>
      <c r="O106" t="str">
        <f t="shared" si="3"/>
        <v>中期</v>
      </c>
    </row>
    <row r="107" spans="1:15">
      <c r="A107" s="2" t="s">
        <v>114</v>
      </c>
      <c r="B107">
        <v>56541639.1999999</v>
      </c>
      <c r="C107">
        <v>8177616.02999998</v>
      </c>
      <c r="D107">
        <v>54774178.3199999</v>
      </c>
      <c r="E107">
        <v>8742442.75</v>
      </c>
      <c r="F107">
        <v>1528152.4108108</v>
      </c>
      <c r="G107">
        <v>221016.649459459</v>
      </c>
      <c r="H107">
        <v>236282.236486486</v>
      </c>
      <c r="I107">
        <v>1480383.19783783</v>
      </c>
      <c r="L107">
        <v>83.927250458618</v>
      </c>
      <c r="M107">
        <v>66</v>
      </c>
      <c r="N107" t="str">
        <f t="shared" si="2"/>
        <v>B</v>
      </c>
      <c r="O107" t="str">
        <f t="shared" si="3"/>
        <v>中期</v>
      </c>
    </row>
    <row r="108" spans="1:15">
      <c r="A108" s="2" t="s">
        <v>115</v>
      </c>
      <c r="B108">
        <v>120507.45</v>
      </c>
      <c r="C108">
        <v>5019.28</v>
      </c>
      <c r="D108">
        <v>49308980.0300002</v>
      </c>
      <c r="E108">
        <v>1026757.00999999</v>
      </c>
      <c r="F108">
        <v>4634.90192307692</v>
      </c>
      <c r="G108">
        <v>193.04923076923</v>
      </c>
      <c r="H108">
        <v>30198.7355882352</v>
      </c>
      <c r="I108">
        <v>1450264.11852941</v>
      </c>
      <c r="L108">
        <v>83.7529867725438</v>
      </c>
      <c r="M108">
        <v>66</v>
      </c>
      <c r="N108" t="str">
        <f t="shared" si="2"/>
        <v>B</v>
      </c>
      <c r="O108" t="str">
        <f t="shared" si="3"/>
        <v>中期</v>
      </c>
    </row>
    <row r="109" spans="1:15">
      <c r="A109" s="2" t="s">
        <v>116</v>
      </c>
      <c r="B109">
        <v>35730036.8799999</v>
      </c>
      <c r="C109">
        <v>1777860.21000001</v>
      </c>
      <c r="D109">
        <v>33376164.7000001</v>
      </c>
      <c r="E109">
        <v>2719686.58999998</v>
      </c>
      <c r="F109">
        <v>992501.024444443</v>
      </c>
      <c r="G109">
        <v>49385.0058333336</v>
      </c>
      <c r="H109">
        <v>113320.274583332</v>
      </c>
      <c r="I109">
        <v>1390673.52916667</v>
      </c>
      <c r="L109">
        <v>83.8180937012096</v>
      </c>
      <c r="M109">
        <v>66</v>
      </c>
      <c r="N109" t="str">
        <f t="shared" si="2"/>
        <v>B</v>
      </c>
      <c r="O109" t="str">
        <f t="shared" si="3"/>
        <v>中期</v>
      </c>
    </row>
    <row r="110" spans="1:15">
      <c r="A110" s="2" t="s">
        <v>117</v>
      </c>
      <c r="B110">
        <v>35129701.3899998</v>
      </c>
      <c r="C110">
        <v>2355436.13</v>
      </c>
      <c r="D110">
        <v>47970719.6399999</v>
      </c>
      <c r="E110">
        <v>2878243.08</v>
      </c>
      <c r="F110">
        <v>924465.826052627</v>
      </c>
      <c r="G110">
        <v>61985.1613157896</v>
      </c>
      <c r="H110">
        <v>319804.786666666</v>
      </c>
      <c r="I110">
        <v>5330079.95999999</v>
      </c>
      <c r="L110">
        <v>86.8137826376168</v>
      </c>
      <c r="M110">
        <v>65</v>
      </c>
      <c r="N110" t="str">
        <f t="shared" si="2"/>
        <v>A</v>
      </c>
      <c r="O110" t="str">
        <f t="shared" si="3"/>
        <v>长期</v>
      </c>
    </row>
    <row r="111" spans="1:15">
      <c r="A111" s="2" t="s">
        <v>118</v>
      </c>
      <c r="B111">
        <v>401349.689999999</v>
      </c>
      <c r="C111">
        <v>32715.3799999999</v>
      </c>
      <c r="D111">
        <v>19988668.9</v>
      </c>
      <c r="E111">
        <v>1436234.64</v>
      </c>
      <c r="F111">
        <v>15436.5265384615</v>
      </c>
      <c r="G111">
        <v>1258.28384615384</v>
      </c>
      <c r="H111">
        <v>159581.626666667</v>
      </c>
      <c r="I111">
        <v>2220963.21111111</v>
      </c>
      <c r="L111">
        <v>84.0563027972863</v>
      </c>
      <c r="M111">
        <v>66</v>
      </c>
      <c r="N111" t="str">
        <f t="shared" si="2"/>
        <v>B</v>
      </c>
      <c r="O111" t="str">
        <f t="shared" si="3"/>
        <v>中期</v>
      </c>
    </row>
    <row r="112" spans="1:15">
      <c r="A112" s="2" t="s">
        <v>119</v>
      </c>
      <c r="B112">
        <v>4551474.63999999</v>
      </c>
      <c r="C112">
        <v>451876.599999999</v>
      </c>
      <c r="D112">
        <v>39835337.1299999</v>
      </c>
      <c r="E112">
        <v>5891521.24</v>
      </c>
      <c r="F112">
        <v>156947.40137931</v>
      </c>
      <c r="G112">
        <v>15581.9517241379</v>
      </c>
      <c r="H112">
        <v>203155.904827586</v>
      </c>
      <c r="I112">
        <v>1373632.31482758</v>
      </c>
      <c r="L112">
        <v>83.1965083932918</v>
      </c>
      <c r="M112">
        <v>66</v>
      </c>
      <c r="N112" t="str">
        <f t="shared" si="2"/>
        <v>B</v>
      </c>
      <c r="O112" t="str">
        <f t="shared" si="3"/>
        <v>中期</v>
      </c>
    </row>
    <row r="113" spans="1:15">
      <c r="A113" s="3" t="s">
        <v>120</v>
      </c>
      <c r="B113">
        <v>14054231.02</v>
      </c>
      <c r="C113">
        <v>2131892.54</v>
      </c>
      <c r="D113">
        <v>40024592.5399999</v>
      </c>
      <c r="E113">
        <v>6112717.29999997</v>
      </c>
      <c r="F113">
        <v>484628.655862069</v>
      </c>
      <c r="G113">
        <v>73513.5358620691</v>
      </c>
      <c r="H113">
        <v>174649.065714285</v>
      </c>
      <c r="I113">
        <v>1143559.78685714</v>
      </c>
      <c r="L113">
        <v>83.2632910274745</v>
      </c>
      <c r="M113">
        <v>66</v>
      </c>
      <c r="N113" t="str">
        <f t="shared" si="2"/>
        <v>B</v>
      </c>
      <c r="O113" t="str">
        <f t="shared" si="3"/>
        <v>中期</v>
      </c>
    </row>
    <row r="114" spans="1:15">
      <c r="A114" s="2" t="s">
        <v>121</v>
      </c>
      <c r="B114">
        <v>4980574.77</v>
      </c>
      <c r="C114">
        <v>331396.06</v>
      </c>
      <c r="D114">
        <v>44647209.89</v>
      </c>
      <c r="E114">
        <v>2696815.20999999</v>
      </c>
      <c r="F114">
        <v>171743.957586207</v>
      </c>
      <c r="G114">
        <v>11427.4503448275</v>
      </c>
      <c r="H114">
        <v>107872.608399999</v>
      </c>
      <c r="I114">
        <v>1785888.3956</v>
      </c>
      <c r="L114">
        <v>83.8844700545587</v>
      </c>
      <c r="M114">
        <v>66</v>
      </c>
      <c r="N114" t="str">
        <f t="shared" si="2"/>
        <v>B</v>
      </c>
      <c r="O114" t="str">
        <f t="shared" si="3"/>
        <v>中期</v>
      </c>
    </row>
    <row r="115" spans="1:15">
      <c r="A115" s="2" t="s">
        <v>122</v>
      </c>
      <c r="B115">
        <v>17103901.02</v>
      </c>
      <c r="C115">
        <v>1578332.05</v>
      </c>
      <c r="D115">
        <v>19792717.9499999</v>
      </c>
      <c r="E115">
        <v>1859323.92999999</v>
      </c>
      <c r="F115">
        <v>633477.815555557</v>
      </c>
      <c r="G115">
        <v>58456.7425925928</v>
      </c>
      <c r="H115">
        <v>132808.852142856</v>
      </c>
      <c r="I115">
        <v>1413765.56785714</v>
      </c>
      <c r="L115">
        <v>83.6746064467825</v>
      </c>
      <c r="M115">
        <v>66</v>
      </c>
      <c r="N115" t="str">
        <f t="shared" si="2"/>
        <v>B</v>
      </c>
      <c r="O115" t="str">
        <f t="shared" si="3"/>
        <v>中期</v>
      </c>
    </row>
    <row r="116" spans="1:15">
      <c r="A116" s="2" t="s">
        <v>123</v>
      </c>
      <c r="B116">
        <v>15987761.56</v>
      </c>
      <c r="C116">
        <v>1078894.17</v>
      </c>
      <c r="D116">
        <v>56429503.9800007</v>
      </c>
      <c r="E116">
        <v>3385775.77000002</v>
      </c>
      <c r="F116">
        <v>515734.243870968</v>
      </c>
      <c r="G116">
        <v>34803.0377419354</v>
      </c>
      <c r="H116">
        <v>94049.3269444451</v>
      </c>
      <c r="I116">
        <v>1567486.22166668</v>
      </c>
      <c r="L116">
        <v>83.870617807606</v>
      </c>
      <c r="M116">
        <v>66</v>
      </c>
      <c r="N116" t="str">
        <f t="shared" si="2"/>
        <v>B</v>
      </c>
      <c r="O116" t="str">
        <f t="shared" si="3"/>
        <v>中期</v>
      </c>
    </row>
    <row r="117" spans="1:15">
      <c r="A117" s="2" t="s">
        <v>124</v>
      </c>
      <c r="B117">
        <v>25876475.6899999</v>
      </c>
      <c r="C117">
        <v>3318705.49</v>
      </c>
      <c r="D117">
        <v>26270147.96</v>
      </c>
      <c r="E117">
        <v>3743755.17</v>
      </c>
      <c r="F117">
        <v>958387.988518518</v>
      </c>
      <c r="G117">
        <v>122915.018148148</v>
      </c>
      <c r="H117">
        <v>155989.79875</v>
      </c>
      <c r="I117">
        <v>1094589.49833333</v>
      </c>
      <c r="L117">
        <v>83.5008303392753</v>
      </c>
      <c r="M117">
        <v>66</v>
      </c>
      <c r="N117" t="str">
        <f t="shared" si="2"/>
        <v>B</v>
      </c>
      <c r="O117" t="str">
        <f t="shared" si="3"/>
        <v>中期</v>
      </c>
    </row>
    <row r="118" spans="1:15">
      <c r="A118" s="2" t="s">
        <v>125</v>
      </c>
      <c r="B118">
        <v>30020619.7999999</v>
      </c>
      <c r="C118">
        <v>1451344.1</v>
      </c>
      <c r="D118">
        <v>17016977.5199999</v>
      </c>
      <c r="E118">
        <v>510509.26</v>
      </c>
      <c r="F118">
        <v>1200824.79199999</v>
      </c>
      <c r="G118">
        <v>58053.7640000002</v>
      </c>
      <c r="H118">
        <v>39269.943076923</v>
      </c>
      <c r="I118">
        <v>1308998.27076923</v>
      </c>
      <c r="L118">
        <v>84.061607403788</v>
      </c>
      <c r="M118">
        <v>66</v>
      </c>
      <c r="N118" t="str">
        <f t="shared" si="2"/>
        <v>B</v>
      </c>
      <c r="O118" t="str">
        <f t="shared" si="3"/>
        <v>中期</v>
      </c>
    </row>
    <row r="119" spans="1:15">
      <c r="A119" s="3" t="s">
        <v>126</v>
      </c>
      <c r="B119">
        <v>5982268.47</v>
      </c>
      <c r="C119">
        <v>779997.389999999</v>
      </c>
      <c r="D119">
        <v>37898804.22</v>
      </c>
      <c r="E119">
        <v>5942543.02</v>
      </c>
      <c r="F119">
        <v>206285.119655172</v>
      </c>
      <c r="G119">
        <v>26896.4617241379</v>
      </c>
      <c r="H119">
        <v>165070.639444444</v>
      </c>
      <c r="I119">
        <v>1052744.56166666</v>
      </c>
      <c r="L119">
        <v>83.0535835725895</v>
      </c>
      <c r="M119">
        <v>66</v>
      </c>
      <c r="N119" t="str">
        <f t="shared" si="2"/>
        <v>B</v>
      </c>
      <c r="O119" t="str">
        <f t="shared" si="3"/>
        <v>中期</v>
      </c>
    </row>
    <row r="120" spans="1:15">
      <c r="A120" s="2" t="s">
        <v>127</v>
      </c>
      <c r="B120">
        <v>18605594.03</v>
      </c>
      <c r="C120">
        <v>2408621.2</v>
      </c>
      <c r="D120">
        <v>1518719.25999999</v>
      </c>
      <c r="E120">
        <v>218167.539999999</v>
      </c>
      <c r="F120">
        <v>744223.761200001</v>
      </c>
      <c r="G120">
        <v>96344.848</v>
      </c>
      <c r="H120">
        <v>10388.9304761904</v>
      </c>
      <c r="I120">
        <v>72319.9647619047</v>
      </c>
      <c r="L120">
        <v>74.9093204831335</v>
      </c>
      <c r="M120">
        <v>67</v>
      </c>
      <c r="N120" t="str">
        <f t="shared" si="2"/>
        <v>C</v>
      </c>
      <c r="O120" t="str">
        <f t="shared" si="3"/>
        <v>短期</v>
      </c>
    </row>
    <row r="121" spans="1:15">
      <c r="A121" s="2" t="s">
        <v>128</v>
      </c>
      <c r="B121">
        <v>4588763.79000003</v>
      </c>
      <c r="C121">
        <v>305612.62</v>
      </c>
      <c r="D121">
        <v>32091033.4099999</v>
      </c>
      <c r="E121">
        <v>4993262.24999999</v>
      </c>
      <c r="F121">
        <v>139053.448181819</v>
      </c>
      <c r="G121">
        <v>9260.98848484849</v>
      </c>
      <c r="H121">
        <v>146860.654411764</v>
      </c>
      <c r="I121">
        <v>943853.923823528</v>
      </c>
      <c r="L121">
        <v>74.9640584117854</v>
      </c>
      <c r="M121">
        <v>67</v>
      </c>
      <c r="N121" t="str">
        <f t="shared" si="2"/>
        <v>C</v>
      </c>
      <c r="O121" t="str">
        <f t="shared" si="3"/>
        <v>短期</v>
      </c>
    </row>
    <row r="122" spans="1:15">
      <c r="A122" s="2" t="s">
        <v>129</v>
      </c>
      <c r="B122">
        <v>13820506.18</v>
      </c>
      <c r="C122">
        <v>2138728.92000001</v>
      </c>
      <c r="D122">
        <v>34862195.2899999</v>
      </c>
      <c r="E122">
        <v>4426303.18</v>
      </c>
      <c r="F122">
        <v>383902.949444445</v>
      </c>
      <c r="G122">
        <v>59409.1366666669</v>
      </c>
      <c r="H122">
        <v>134130.399393939</v>
      </c>
      <c r="I122">
        <v>1056430.16030302</v>
      </c>
      <c r="L122">
        <v>83.259841654655</v>
      </c>
      <c r="M122">
        <v>66</v>
      </c>
      <c r="N122" t="str">
        <f t="shared" si="2"/>
        <v>B</v>
      </c>
      <c r="O122" t="str">
        <f t="shared" si="3"/>
        <v>中期</v>
      </c>
    </row>
    <row r="123" spans="1:15">
      <c r="A123" s="2" t="s">
        <v>130</v>
      </c>
      <c r="B123">
        <v>132745.05</v>
      </c>
      <c r="C123">
        <v>15143.74</v>
      </c>
      <c r="D123">
        <v>25170610.3899999</v>
      </c>
      <c r="E123">
        <v>755117.959999999</v>
      </c>
      <c r="F123">
        <v>4424.835</v>
      </c>
      <c r="G123">
        <v>504.791333333333</v>
      </c>
      <c r="H123">
        <v>34323.5436363635</v>
      </c>
      <c r="I123">
        <v>1144118.6540909</v>
      </c>
      <c r="L123">
        <v>83.4551949645693</v>
      </c>
      <c r="M123">
        <v>66</v>
      </c>
      <c r="N123" t="str">
        <f t="shared" si="2"/>
        <v>B</v>
      </c>
      <c r="O123" t="str">
        <f t="shared" si="3"/>
        <v>中期</v>
      </c>
    </row>
    <row r="124" spans="1:15">
      <c r="A124" s="2" t="s">
        <v>131</v>
      </c>
      <c r="B124">
        <v>6524608.59999999</v>
      </c>
      <c r="C124">
        <v>578859.409999999</v>
      </c>
      <c r="D124">
        <v>31377751.46</v>
      </c>
      <c r="E124">
        <v>1869196.43999999</v>
      </c>
      <c r="F124">
        <v>210471.24516129</v>
      </c>
      <c r="G124">
        <v>18672.8841935483</v>
      </c>
      <c r="H124">
        <v>50518.8227027025</v>
      </c>
      <c r="I124">
        <v>848047.336756758</v>
      </c>
      <c r="L124">
        <v>83.2200421719175</v>
      </c>
      <c r="M124">
        <v>66</v>
      </c>
      <c r="N124" t="str">
        <f t="shared" si="2"/>
        <v>B</v>
      </c>
      <c r="O124" t="str">
        <f t="shared" si="3"/>
        <v>中期</v>
      </c>
    </row>
    <row r="125" spans="1:15">
      <c r="A125" s="2" t="s">
        <v>132</v>
      </c>
      <c r="B125">
        <v>12283876.14</v>
      </c>
      <c r="C125">
        <v>1497639.08</v>
      </c>
      <c r="D125">
        <v>21712508.8</v>
      </c>
      <c r="E125">
        <v>3220907.07</v>
      </c>
      <c r="F125">
        <v>323259.898421053</v>
      </c>
      <c r="G125">
        <v>39411.5547368421</v>
      </c>
      <c r="H125">
        <v>89469.6408333333</v>
      </c>
      <c r="I125">
        <v>603125.244444444</v>
      </c>
      <c r="L125">
        <v>74.9338016125003</v>
      </c>
      <c r="M125">
        <v>67</v>
      </c>
      <c r="N125" t="str">
        <f t="shared" si="2"/>
        <v>C</v>
      </c>
      <c r="O125" t="str">
        <f t="shared" si="3"/>
        <v>短期</v>
      </c>
    </row>
    <row r="126" spans="1:15">
      <c r="A126" s="2" t="s">
        <v>133</v>
      </c>
      <c r="B126">
        <v>13784612.4199999</v>
      </c>
      <c r="C126">
        <v>1244744.25</v>
      </c>
      <c r="D126">
        <v>20868777.1</v>
      </c>
      <c r="E126">
        <v>1484785.88999999</v>
      </c>
      <c r="F126">
        <v>372557.092432431</v>
      </c>
      <c r="G126">
        <v>33641.7364864865</v>
      </c>
      <c r="H126">
        <v>41244.0524999999</v>
      </c>
      <c r="I126">
        <v>579688.252777778</v>
      </c>
      <c r="L126">
        <v>83.0736136361291</v>
      </c>
      <c r="M126">
        <v>66</v>
      </c>
      <c r="N126" t="str">
        <f t="shared" si="2"/>
        <v>B</v>
      </c>
      <c r="O126" t="str">
        <f t="shared" si="3"/>
        <v>中期</v>
      </c>
    </row>
    <row r="127" spans="1:15">
      <c r="A127" s="2" t="s">
        <v>134</v>
      </c>
      <c r="B127">
        <v>27296207.1299999</v>
      </c>
      <c r="C127">
        <v>1107861.21999999</v>
      </c>
      <c r="D127">
        <v>51819821.7000004</v>
      </c>
      <c r="E127">
        <v>1799309.51000001</v>
      </c>
      <c r="F127">
        <v>779891.632285712</v>
      </c>
      <c r="G127">
        <v>31653.1777142857</v>
      </c>
      <c r="H127">
        <v>163573.591818183</v>
      </c>
      <c r="I127">
        <v>4710892.88181822</v>
      </c>
      <c r="L127">
        <v>86.6626036869554</v>
      </c>
      <c r="M127">
        <v>65</v>
      </c>
      <c r="N127" t="str">
        <f t="shared" si="2"/>
        <v>A</v>
      </c>
      <c r="O127" t="str">
        <f t="shared" si="3"/>
        <v>长期</v>
      </c>
    </row>
    <row r="128" spans="1:15">
      <c r="A128" s="2" t="s">
        <v>135</v>
      </c>
      <c r="B128">
        <v>8633213.08999998</v>
      </c>
      <c r="C128">
        <v>961509.65</v>
      </c>
      <c r="D128">
        <v>32443945.6899999</v>
      </c>
      <c r="E128">
        <v>4999476.45999999</v>
      </c>
      <c r="F128">
        <v>227189.818157894</v>
      </c>
      <c r="G128">
        <v>25302.8855263157</v>
      </c>
      <c r="H128">
        <v>131565.169999999</v>
      </c>
      <c r="I128">
        <v>853788.044473683</v>
      </c>
      <c r="L128">
        <v>84.9807513346489</v>
      </c>
      <c r="M128">
        <v>66</v>
      </c>
      <c r="N128" t="str">
        <f t="shared" si="2"/>
        <v>B</v>
      </c>
      <c r="O128" t="str">
        <f t="shared" si="3"/>
        <v>中期</v>
      </c>
    </row>
    <row r="129" spans="1:15">
      <c r="A129" s="2" t="s">
        <v>136</v>
      </c>
      <c r="B129">
        <v>9138566.24999999</v>
      </c>
      <c r="C129">
        <v>1021703.58</v>
      </c>
      <c r="D129">
        <v>12859876.8799999</v>
      </c>
      <c r="E129">
        <v>1715098.91999999</v>
      </c>
      <c r="F129">
        <v>304618.874999999</v>
      </c>
      <c r="G129">
        <v>34056.786</v>
      </c>
      <c r="H129">
        <v>74569.5182608695</v>
      </c>
      <c r="I129">
        <v>559125.08173913</v>
      </c>
      <c r="L129">
        <v>74.9269179427306</v>
      </c>
      <c r="M129">
        <v>67</v>
      </c>
      <c r="N129" t="str">
        <f t="shared" si="2"/>
        <v>C</v>
      </c>
      <c r="O129" t="str">
        <f t="shared" si="3"/>
        <v>短期</v>
      </c>
    </row>
    <row r="130" spans="1:15">
      <c r="A130" s="2" t="s">
        <v>137</v>
      </c>
      <c r="B130">
        <v>26238254.2199999</v>
      </c>
      <c r="C130">
        <v>4067266.56</v>
      </c>
      <c r="D130">
        <v>39283383.9999999</v>
      </c>
      <c r="E130">
        <v>5532434.57999999</v>
      </c>
      <c r="F130">
        <v>709142.005945945</v>
      </c>
      <c r="G130">
        <v>109926.123243243</v>
      </c>
      <c r="H130">
        <v>149525.258918918</v>
      </c>
      <c r="I130">
        <v>1061713.08108108</v>
      </c>
      <c r="L130">
        <v>83.3924885317289</v>
      </c>
      <c r="M130">
        <v>66</v>
      </c>
      <c r="N130" t="str">
        <f t="shared" si="2"/>
        <v>B</v>
      </c>
      <c r="O130" t="str">
        <f t="shared" si="3"/>
        <v>中期</v>
      </c>
    </row>
    <row r="131" spans="1:15">
      <c r="A131" s="2" t="s">
        <v>138</v>
      </c>
      <c r="B131">
        <v>18383666.4599999</v>
      </c>
      <c r="C131">
        <v>1529007.92999999</v>
      </c>
      <c r="D131">
        <v>23725535.58</v>
      </c>
      <c r="E131">
        <v>1593339.10999999</v>
      </c>
      <c r="F131">
        <v>557080.801818181</v>
      </c>
      <c r="G131">
        <v>46333.5736363636</v>
      </c>
      <c r="H131">
        <v>44259.4197222221</v>
      </c>
      <c r="I131">
        <v>659042.655</v>
      </c>
      <c r="L131">
        <v>83.214942358032</v>
      </c>
      <c r="M131">
        <v>66</v>
      </c>
      <c r="N131" t="str">
        <f t="shared" ref="N131:N194" si="4">_xlfn.SWITCH(M131,65,"A",66,"B",67,"C",68,"D")</f>
        <v>B</v>
      </c>
      <c r="O131" t="str">
        <f t="shared" ref="O131:O194" si="5">_xlfn.SWITCH(N131,"A","长期","B","中期","C","短期","D","不提供借贷")</f>
        <v>中期</v>
      </c>
    </row>
    <row r="132" spans="1:15">
      <c r="A132" s="2" t="s">
        <v>139</v>
      </c>
      <c r="B132">
        <v>3221474.18</v>
      </c>
      <c r="C132">
        <v>392539.4</v>
      </c>
      <c r="D132">
        <v>37200358.72</v>
      </c>
      <c r="E132">
        <v>1116010.5</v>
      </c>
      <c r="F132">
        <v>115052.649285714</v>
      </c>
      <c r="G132">
        <v>14019.2642857142</v>
      </c>
      <c r="H132">
        <v>33818.5</v>
      </c>
      <c r="I132">
        <v>1127283.59757575</v>
      </c>
      <c r="L132">
        <v>83.4961998691468</v>
      </c>
      <c r="M132">
        <v>66</v>
      </c>
      <c r="N132" t="str">
        <f t="shared" si="4"/>
        <v>B</v>
      </c>
      <c r="O132" t="str">
        <f t="shared" si="5"/>
        <v>中期</v>
      </c>
    </row>
    <row r="133" spans="1:15">
      <c r="A133" s="2" t="s">
        <v>140</v>
      </c>
      <c r="B133">
        <v>11268140.56</v>
      </c>
      <c r="C133">
        <v>1568521.83</v>
      </c>
      <c r="D133">
        <v>38606481.8399999</v>
      </c>
      <c r="E133">
        <v>6143411.40999999</v>
      </c>
      <c r="F133">
        <v>331415.898823529</v>
      </c>
      <c r="G133">
        <v>46132.995</v>
      </c>
      <c r="H133">
        <v>180688.570882352</v>
      </c>
      <c r="I133">
        <v>1135484.75999999</v>
      </c>
      <c r="L133">
        <v>83.1478931725397</v>
      </c>
      <c r="M133">
        <v>66</v>
      </c>
      <c r="N133" t="str">
        <f t="shared" si="4"/>
        <v>B</v>
      </c>
      <c r="O133" t="str">
        <f t="shared" si="5"/>
        <v>中期</v>
      </c>
    </row>
    <row r="134" spans="1:15">
      <c r="A134" s="2" t="s">
        <v>141</v>
      </c>
      <c r="B134">
        <v>10258640.4</v>
      </c>
      <c r="C134">
        <v>1655074.81</v>
      </c>
      <c r="D134">
        <v>29926361.09</v>
      </c>
      <c r="E134">
        <v>4702919</v>
      </c>
      <c r="F134">
        <v>277260.551351351</v>
      </c>
      <c r="G134">
        <v>44731.7516216216</v>
      </c>
      <c r="H134">
        <v>127105.918918918</v>
      </c>
      <c r="I134">
        <v>808820.57</v>
      </c>
      <c r="L134">
        <v>74.9974247520741</v>
      </c>
      <c r="M134">
        <v>67</v>
      </c>
      <c r="N134" t="str">
        <f t="shared" si="4"/>
        <v>C</v>
      </c>
      <c r="O134" t="str">
        <f t="shared" si="5"/>
        <v>短期</v>
      </c>
    </row>
    <row r="135" spans="1:15">
      <c r="A135" s="2" t="s">
        <v>142</v>
      </c>
      <c r="B135">
        <v>15089198.55</v>
      </c>
      <c r="C135">
        <v>2345782.71</v>
      </c>
      <c r="D135">
        <v>23793654.8899999</v>
      </c>
      <c r="E135">
        <v>2726153.59</v>
      </c>
      <c r="F135">
        <v>502973.285</v>
      </c>
      <c r="G135">
        <v>78192.757</v>
      </c>
      <c r="H135">
        <v>90871.7863333333</v>
      </c>
      <c r="I135">
        <v>793121.829666664</v>
      </c>
      <c r="L135">
        <v>83.2191855191691</v>
      </c>
      <c r="M135">
        <v>66</v>
      </c>
      <c r="N135" t="str">
        <f t="shared" si="4"/>
        <v>B</v>
      </c>
      <c r="O135" t="str">
        <f t="shared" si="5"/>
        <v>中期</v>
      </c>
    </row>
    <row r="136" spans="1:15">
      <c r="A136" s="2" t="s">
        <v>143</v>
      </c>
      <c r="B136">
        <v>15197534.26</v>
      </c>
      <c r="C136">
        <v>465425.320000001</v>
      </c>
      <c r="D136">
        <v>68046478.5399999</v>
      </c>
      <c r="E136">
        <v>3477324.79</v>
      </c>
      <c r="F136">
        <v>399935.112105264</v>
      </c>
      <c r="G136">
        <v>12248.0347368421</v>
      </c>
      <c r="H136">
        <v>91508.5471052631</v>
      </c>
      <c r="I136">
        <v>1790696.8036842</v>
      </c>
      <c r="L136">
        <v>84.0165553611294</v>
      </c>
      <c r="M136">
        <v>66</v>
      </c>
      <c r="N136" t="str">
        <f t="shared" si="4"/>
        <v>B</v>
      </c>
      <c r="O136" t="str">
        <f t="shared" si="5"/>
        <v>中期</v>
      </c>
    </row>
    <row r="137" spans="1:15">
      <c r="A137" s="2" t="s">
        <v>144</v>
      </c>
      <c r="B137">
        <v>18472779.2499999</v>
      </c>
      <c r="C137">
        <v>1288601.72999999</v>
      </c>
      <c r="D137">
        <v>31725623.1099999</v>
      </c>
      <c r="E137">
        <v>1903537.44999999</v>
      </c>
      <c r="F137">
        <v>499264.304054053</v>
      </c>
      <c r="G137">
        <v>34827.0737837836</v>
      </c>
      <c r="H137">
        <v>51446.958108108</v>
      </c>
      <c r="I137">
        <v>857449.273243242</v>
      </c>
      <c r="L137">
        <v>83.3413735074805</v>
      </c>
      <c r="M137">
        <v>66</v>
      </c>
      <c r="N137" t="str">
        <f t="shared" si="4"/>
        <v>B</v>
      </c>
      <c r="O137" t="str">
        <f t="shared" si="5"/>
        <v>中期</v>
      </c>
    </row>
    <row r="138" spans="1:15">
      <c r="A138" s="2" t="s">
        <v>145</v>
      </c>
      <c r="B138">
        <v>17836465.14</v>
      </c>
      <c r="C138">
        <v>2495773.55</v>
      </c>
      <c r="D138">
        <v>22168583.1599999</v>
      </c>
      <c r="E138">
        <v>3144158.94999999</v>
      </c>
      <c r="F138">
        <v>482066.625405406</v>
      </c>
      <c r="G138">
        <v>67453.3391891892</v>
      </c>
      <c r="H138">
        <v>84977.2689189188</v>
      </c>
      <c r="I138">
        <v>599150.896216215</v>
      </c>
      <c r="L138">
        <v>83.0355390564541</v>
      </c>
      <c r="M138">
        <v>66</v>
      </c>
      <c r="N138" t="str">
        <f t="shared" si="4"/>
        <v>B</v>
      </c>
      <c r="O138" t="str">
        <f t="shared" si="5"/>
        <v>中期</v>
      </c>
    </row>
    <row r="139" spans="1:15">
      <c r="A139" s="2" t="s">
        <v>146</v>
      </c>
      <c r="B139">
        <v>8616353.38000001</v>
      </c>
      <c r="C139">
        <v>1227082.55999999</v>
      </c>
      <c r="D139">
        <v>15967699.3799999</v>
      </c>
      <c r="E139">
        <v>2417937.03</v>
      </c>
      <c r="F139">
        <v>232874.415675675</v>
      </c>
      <c r="G139">
        <v>33164.3935135134</v>
      </c>
      <c r="H139">
        <v>65349.6494594595</v>
      </c>
      <c r="I139">
        <v>431559.442702702</v>
      </c>
      <c r="L139">
        <v>74.8140068610479</v>
      </c>
      <c r="M139">
        <v>67</v>
      </c>
      <c r="N139" t="str">
        <f t="shared" si="4"/>
        <v>C</v>
      </c>
      <c r="O139" t="str">
        <f t="shared" si="5"/>
        <v>短期</v>
      </c>
    </row>
    <row r="140" spans="1:15">
      <c r="A140" s="2" t="s">
        <v>147</v>
      </c>
      <c r="B140">
        <v>16419328.1199999</v>
      </c>
      <c r="C140">
        <v>2439547.09</v>
      </c>
      <c r="D140">
        <v>24523963.3</v>
      </c>
      <c r="E140">
        <v>3743011.33</v>
      </c>
      <c r="F140">
        <v>513104.003749999</v>
      </c>
      <c r="G140">
        <v>76235.8465625001</v>
      </c>
      <c r="H140">
        <v>124767.044333333</v>
      </c>
      <c r="I140">
        <v>817465.443333333</v>
      </c>
      <c r="L140">
        <v>83.1335249776779</v>
      </c>
      <c r="M140">
        <v>66</v>
      </c>
      <c r="N140" t="str">
        <f t="shared" si="4"/>
        <v>B</v>
      </c>
      <c r="O140" t="str">
        <f t="shared" si="5"/>
        <v>中期</v>
      </c>
    </row>
    <row r="141" spans="1:15">
      <c r="A141" s="2" t="s">
        <v>148</v>
      </c>
      <c r="B141">
        <v>14352187.4199999</v>
      </c>
      <c r="C141">
        <v>696953.49</v>
      </c>
      <c r="D141">
        <v>26231558.89</v>
      </c>
      <c r="E141">
        <v>2230938.96999999</v>
      </c>
      <c r="F141">
        <v>387896.957297296</v>
      </c>
      <c r="G141">
        <v>18836.5808108108</v>
      </c>
      <c r="H141">
        <v>61970.5269444442</v>
      </c>
      <c r="I141">
        <v>728654.413611112</v>
      </c>
      <c r="L141">
        <v>83.1290225675947</v>
      </c>
      <c r="M141">
        <v>66</v>
      </c>
      <c r="N141" t="str">
        <f t="shared" si="4"/>
        <v>B</v>
      </c>
      <c r="O141" t="str">
        <f t="shared" si="5"/>
        <v>中期</v>
      </c>
    </row>
    <row r="142" spans="1:15">
      <c r="A142" s="2" t="s">
        <v>149</v>
      </c>
      <c r="B142">
        <v>23547443.51</v>
      </c>
      <c r="C142">
        <v>3536156.4</v>
      </c>
      <c r="D142">
        <v>1173035.69999999</v>
      </c>
      <c r="E142">
        <v>192354.03</v>
      </c>
      <c r="F142">
        <v>941897.740400001</v>
      </c>
      <c r="G142">
        <v>141446.256</v>
      </c>
      <c r="H142">
        <v>8363.21869565217</v>
      </c>
      <c r="I142">
        <v>51001.552173913</v>
      </c>
      <c r="L142">
        <v>83.0241092590961</v>
      </c>
      <c r="M142">
        <v>66</v>
      </c>
      <c r="N142" t="str">
        <f t="shared" si="4"/>
        <v>B</v>
      </c>
      <c r="O142" t="str">
        <f t="shared" si="5"/>
        <v>中期</v>
      </c>
    </row>
    <row r="143" spans="1:15">
      <c r="A143" s="2" t="s">
        <v>150</v>
      </c>
      <c r="B143">
        <v>21512865.9099999</v>
      </c>
      <c r="C143">
        <v>2206736.3</v>
      </c>
      <c r="D143">
        <v>23812366.6299999</v>
      </c>
      <c r="E143">
        <v>2583156.40999999</v>
      </c>
      <c r="F143">
        <v>651905.027575755</v>
      </c>
      <c r="G143">
        <v>66870.796969697</v>
      </c>
      <c r="H143">
        <v>80723.6378124998</v>
      </c>
      <c r="I143">
        <v>744136.457187499</v>
      </c>
      <c r="L143">
        <v>83.2371618262586</v>
      </c>
      <c r="M143">
        <v>66</v>
      </c>
      <c r="N143" t="str">
        <f t="shared" si="4"/>
        <v>B</v>
      </c>
      <c r="O143" t="str">
        <f t="shared" si="5"/>
        <v>中期</v>
      </c>
    </row>
    <row r="144" spans="1:15">
      <c r="A144" s="2" t="s">
        <v>151</v>
      </c>
      <c r="B144">
        <v>1223479.74999999</v>
      </c>
      <c r="C144">
        <v>108087.67</v>
      </c>
      <c r="D144">
        <v>26289597.49</v>
      </c>
      <c r="E144">
        <v>4166787.94999999</v>
      </c>
      <c r="F144">
        <v>35984.6985294117</v>
      </c>
      <c r="G144">
        <v>3179.04911764705</v>
      </c>
      <c r="H144">
        <v>148813.855357142</v>
      </c>
      <c r="I144">
        <v>938914.196071428</v>
      </c>
      <c r="L144">
        <v>74.9118302908483</v>
      </c>
      <c r="M144">
        <v>67</v>
      </c>
      <c r="N144" t="str">
        <f t="shared" si="4"/>
        <v>C</v>
      </c>
      <c r="O144" t="str">
        <f t="shared" si="5"/>
        <v>短期</v>
      </c>
    </row>
    <row r="145" spans="1:15">
      <c r="A145" s="2" t="s">
        <v>152</v>
      </c>
      <c r="B145">
        <v>1033331.68999999</v>
      </c>
      <c r="C145">
        <v>8272.31</v>
      </c>
      <c r="D145">
        <v>17493142.05</v>
      </c>
      <c r="E145">
        <v>243272.619999999</v>
      </c>
      <c r="F145">
        <v>54385.8784210526</v>
      </c>
      <c r="G145">
        <v>435.384736842105</v>
      </c>
      <c r="H145">
        <v>17376.6157142857</v>
      </c>
      <c r="I145">
        <v>1249510.14642857</v>
      </c>
      <c r="L145">
        <v>83.6237200394782</v>
      </c>
      <c r="M145">
        <v>66</v>
      </c>
      <c r="N145" t="str">
        <f t="shared" si="4"/>
        <v>B</v>
      </c>
      <c r="O145" t="str">
        <f t="shared" si="5"/>
        <v>中期</v>
      </c>
    </row>
    <row r="146" spans="1:15">
      <c r="A146" s="2" t="s">
        <v>153</v>
      </c>
      <c r="B146">
        <v>5853887.01</v>
      </c>
      <c r="C146">
        <v>175840.989999999</v>
      </c>
      <c r="D146">
        <v>25591515.94</v>
      </c>
      <c r="E146">
        <v>1474316.97999999</v>
      </c>
      <c r="F146">
        <v>450299.00076923</v>
      </c>
      <c r="G146">
        <v>13526.2299999999</v>
      </c>
      <c r="H146">
        <v>67014.408181818</v>
      </c>
      <c r="I146">
        <v>1163250.72454545</v>
      </c>
      <c r="L146">
        <v>83.5292722888258</v>
      </c>
      <c r="M146">
        <v>66</v>
      </c>
      <c r="N146" t="str">
        <f t="shared" si="4"/>
        <v>B</v>
      </c>
      <c r="O146" t="str">
        <f t="shared" si="5"/>
        <v>中期</v>
      </c>
    </row>
    <row r="147" spans="1:15">
      <c r="A147" s="2" t="s">
        <v>154</v>
      </c>
      <c r="B147">
        <v>935601.37</v>
      </c>
      <c r="C147">
        <v>99703.88</v>
      </c>
      <c r="D147">
        <v>30060690.4499999</v>
      </c>
      <c r="E147">
        <v>4475754.27999999</v>
      </c>
      <c r="F147">
        <v>31186.7123333333</v>
      </c>
      <c r="G147">
        <v>3323.46266666666</v>
      </c>
      <c r="H147">
        <v>127878.693714285</v>
      </c>
      <c r="I147">
        <v>858876.869999999</v>
      </c>
      <c r="L147">
        <v>74.9033130563965</v>
      </c>
      <c r="M147">
        <v>67</v>
      </c>
      <c r="N147" t="str">
        <f t="shared" si="4"/>
        <v>C</v>
      </c>
      <c r="O147" t="str">
        <f t="shared" si="5"/>
        <v>短期</v>
      </c>
    </row>
    <row r="148" spans="1:15">
      <c r="A148" s="3" t="s">
        <v>155</v>
      </c>
      <c r="B148">
        <v>5861645.70000001</v>
      </c>
      <c r="C148">
        <v>880726.669999998</v>
      </c>
      <c r="D148">
        <v>20044158.2</v>
      </c>
      <c r="E148">
        <v>3067766.62</v>
      </c>
      <c r="F148">
        <v>162823.491666667</v>
      </c>
      <c r="G148">
        <v>24464.6297222221</v>
      </c>
      <c r="H148">
        <v>92962.6248484848</v>
      </c>
      <c r="I148">
        <v>607398.733333333</v>
      </c>
      <c r="L148">
        <v>74.8541610946454</v>
      </c>
      <c r="M148">
        <v>67</v>
      </c>
      <c r="N148" t="str">
        <f t="shared" si="4"/>
        <v>C</v>
      </c>
      <c r="O148" t="str">
        <f t="shared" si="5"/>
        <v>短期</v>
      </c>
    </row>
    <row r="149" spans="1:15">
      <c r="A149" s="2" t="s">
        <v>156</v>
      </c>
      <c r="B149">
        <v>26123955.5099998</v>
      </c>
      <c r="C149">
        <v>3989514.86000001</v>
      </c>
      <c r="D149">
        <v>30204201.37</v>
      </c>
      <c r="E149">
        <v>4812933.33999999</v>
      </c>
      <c r="F149">
        <v>706052.851621617</v>
      </c>
      <c r="G149">
        <v>107824.725945946</v>
      </c>
      <c r="H149">
        <v>130079.279459459</v>
      </c>
      <c r="I149">
        <v>816329.766756757</v>
      </c>
      <c r="L149">
        <v>83.2227165958378</v>
      </c>
      <c r="M149">
        <v>66</v>
      </c>
      <c r="N149" t="str">
        <f t="shared" si="4"/>
        <v>B</v>
      </c>
      <c r="O149" t="str">
        <f t="shared" si="5"/>
        <v>中期</v>
      </c>
    </row>
    <row r="150" spans="1:15">
      <c r="A150" s="2" t="s">
        <v>157</v>
      </c>
      <c r="B150">
        <v>4428282.71</v>
      </c>
      <c r="C150">
        <v>402497.17</v>
      </c>
      <c r="D150">
        <v>13847647.4999999</v>
      </c>
      <c r="E150">
        <v>2110398.93999999</v>
      </c>
      <c r="F150">
        <v>123007.853055555</v>
      </c>
      <c r="G150">
        <v>11180.4769444444</v>
      </c>
      <c r="H150">
        <v>58622.1927777777</v>
      </c>
      <c r="I150">
        <v>384656.874999999</v>
      </c>
      <c r="L150">
        <v>74.7254093416771</v>
      </c>
      <c r="M150">
        <v>67</v>
      </c>
      <c r="N150" t="str">
        <f t="shared" si="4"/>
        <v>C</v>
      </c>
      <c r="O150" t="str">
        <f t="shared" si="5"/>
        <v>短期</v>
      </c>
    </row>
    <row r="151" spans="1:15">
      <c r="A151" s="2" t="s">
        <v>158</v>
      </c>
      <c r="B151">
        <v>9969872.58000002</v>
      </c>
      <c r="C151">
        <v>526747.22</v>
      </c>
      <c r="D151">
        <v>23004728.2799997</v>
      </c>
      <c r="E151">
        <v>819743.869999997</v>
      </c>
      <c r="F151">
        <v>343788.709655173</v>
      </c>
      <c r="G151">
        <v>18163.6972413793</v>
      </c>
      <c r="H151">
        <v>23421.2534285713</v>
      </c>
      <c r="I151">
        <v>657277.950857135</v>
      </c>
      <c r="L151">
        <v>83.1712727690452</v>
      </c>
      <c r="M151">
        <v>66</v>
      </c>
      <c r="N151" t="str">
        <f t="shared" si="4"/>
        <v>B</v>
      </c>
      <c r="O151" t="str">
        <f t="shared" si="5"/>
        <v>中期</v>
      </c>
    </row>
    <row r="152" spans="1:15">
      <c r="A152" s="2" t="s">
        <v>159</v>
      </c>
      <c r="B152">
        <v>35569.07</v>
      </c>
      <c r="C152">
        <v>1218.92999999999</v>
      </c>
      <c r="D152">
        <v>11733690.96</v>
      </c>
      <c r="E152">
        <v>352010.559999999</v>
      </c>
      <c r="F152">
        <v>5081.29571428571</v>
      </c>
      <c r="G152">
        <v>174.132857142857</v>
      </c>
      <c r="H152">
        <v>23467.3706666666</v>
      </c>
      <c r="I152">
        <v>782246.064000001</v>
      </c>
      <c r="L152">
        <v>83.1534078258354</v>
      </c>
      <c r="M152">
        <v>66</v>
      </c>
      <c r="N152" t="str">
        <f t="shared" si="4"/>
        <v>B</v>
      </c>
      <c r="O152" t="str">
        <f t="shared" si="5"/>
        <v>中期</v>
      </c>
    </row>
    <row r="153" spans="1:15">
      <c r="A153" s="2" t="s">
        <v>160</v>
      </c>
      <c r="B153">
        <v>1600295.13</v>
      </c>
      <c r="C153">
        <v>184279.82</v>
      </c>
      <c r="D153">
        <v>20636866.03</v>
      </c>
      <c r="E153">
        <v>1593978.12</v>
      </c>
      <c r="F153">
        <v>47067.5038235294</v>
      </c>
      <c r="G153">
        <v>5419.99470588235</v>
      </c>
      <c r="H153">
        <v>46881.7094117647</v>
      </c>
      <c r="I153">
        <v>606966.647941176</v>
      </c>
      <c r="L153">
        <v>74.9366774816647</v>
      </c>
      <c r="M153">
        <v>67</v>
      </c>
      <c r="N153" t="str">
        <f t="shared" si="4"/>
        <v>C</v>
      </c>
      <c r="O153" t="str">
        <f t="shared" si="5"/>
        <v>短期</v>
      </c>
    </row>
    <row r="154" spans="1:15">
      <c r="A154" s="2" t="s">
        <v>161</v>
      </c>
      <c r="B154">
        <v>4044018.63</v>
      </c>
      <c r="C154">
        <v>246656.489999999</v>
      </c>
      <c r="D154">
        <v>12182839.3499999</v>
      </c>
      <c r="E154">
        <v>997314.27</v>
      </c>
      <c r="F154">
        <v>126375.5821875</v>
      </c>
      <c r="G154">
        <v>7708.01531249999</v>
      </c>
      <c r="H154">
        <v>39892.5708</v>
      </c>
      <c r="I154">
        <v>487313.573999998</v>
      </c>
      <c r="L154">
        <v>74.876409520429</v>
      </c>
      <c r="M154">
        <v>67</v>
      </c>
      <c r="N154" t="str">
        <f t="shared" si="4"/>
        <v>C</v>
      </c>
      <c r="O154" t="str">
        <f t="shared" si="5"/>
        <v>短期</v>
      </c>
    </row>
    <row r="155" spans="1:15">
      <c r="A155" s="2" t="s">
        <v>162</v>
      </c>
      <c r="B155">
        <v>12518820.5599999</v>
      </c>
      <c r="C155">
        <v>1600277.25</v>
      </c>
      <c r="D155">
        <v>18107878.2799999</v>
      </c>
      <c r="E155">
        <v>2838241.77999999</v>
      </c>
      <c r="F155">
        <v>391213.142499999</v>
      </c>
      <c r="G155">
        <v>50008.6640625</v>
      </c>
      <c r="H155">
        <v>94608.0593333332</v>
      </c>
      <c r="I155">
        <v>603595.942666666</v>
      </c>
      <c r="L155">
        <v>74.9547207947293</v>
      </c>
      <c r="M155">
        <v>67</v>
      </c>
      <c r="N155" t="str">
        <f t="shared" si="4"/>
        <v>C</v>
      </c>
      <c r="O155" t="str">
        <f t="shared" si="5"/>
        <v>短期</v>
      </c>
    </row>
    <row r="156" spans="1:15">
      <c r="A156" s="2" t="s">
        <v>163</v>
      </c>
      <c r="B156">
        <v>11040657.06</v>
      </c>
      <c r="C156">
        <v>1639530.59999999</v>
      </c>
      <c r="D156">
        <v>13017866</v>
      </c>
      <c r="E156">
        <v>1947120.83</v>
      </c>
      <c r="F156">
        <v>306684.918333333</v>
      </c>
      <c r="G156">
        <v>45542.5166666666</v>
      </c>
      <c r="H156">
        <v>54086.6897222222</v>
      </c>
      <c r="I156">
        <v>361607.388888888</v>
      </c>
      <c r="L156">
        <v>74.8263265397444</v>
      </c>
      <c r="M156">
        <v>67</v>
      </c>
      <c r="N156" t="str">
        <f t="shared" si="4"/>
        <v>C</v>
      </c>
      <c r="O156" t="str">
        <f t="shared" si="5"/>
        <v>短期</v>
      </c>
    </row>
    <row r="157" spans="1:15">
      <c r="A157" s="2" t="s">
        <v>164</v>
      </c>
      <c r="B157">
        <v>16692566.79</v>
      </c>
      <c r="C157">
        <v>2123067.24</v>
      </c>
      <c r="D157">
        <v>22943219.6499999</v>
      </c>
      <c r="E157">
        <v>346302.009999999</v>
      </c>
      <c r="F157">
        <v>556418.893</v>
      </c>
      <c r="G157">
        <v>70768.908</v>
      </c>
      <c r="H157">
        <v>11941.4486206896</v>
      </c>
      <c r="I157">
        <v>791145.505172413</v>
      </c>
      <c r="L157">
        <v>83.4772643920834</v>
      </c>
      <c r="M157">
        <v>66</v>
      </c>
      <c r="N157" t="str">
        <f t="shared" si="4"/>
        <v>B</v>
      </c>
      <c r="O157" t="str">
        <f t="shared" si="5"/>
        <v>中期</v>
      </c>
    </row>
    <row r="158" spans="1:15">
      <c r="A158" s="3" t="s">
        <v>165</v>
      </c>
      <c r="B158">
        <v>12226246.4</v>
      </c>
      <c r="C158">
        <v>1885936.58</v>
      </c>
      <c r="D158">
        <v>17080553.2099999</v>
      </c>
      <c r="E158">
        <v>2661776.35</v>
      </c>
      <c r="F158">
        <v>421594.703448276</v>
      </c>
      <c r="G158">
        <v>65032.295862069</v>
      </c>
      <c r="H158">
        <v>73938.2319444444</v>
      </c>
      <c r="I158">
        <v>474459.811388888</v>
      </c>
      <c r="L158">
        <v>74.9323309509807</v>
      </c>
      <c r="M158">
        <v>67</v>
      </c>
      <c r="N158" t="str">
        <f t="shared" si="4"/>
        <v>C</v>
      </c>
      <c r="O158" t="str">
        <f t="shared" si="5"/>
        <v>短期</v>
      </c>
    </row>
    <row r="159" spans="1:15">
      <c r="A159" s="2" t="s">
        <v>166</v>
      </c>
      <c r="B159">
        <v>19629385.24</v>
      </c>
      <c r="C159">
        <v>1985079.67</v>
      </c>
      <c r="D159">
        <v>16333110.18</v>
      </c>
      <c r="E159">
        <v>1441416</v>
      </c>
      <c r="F159">
        <v>577334.86</v>
      </c>
      <c r="G159">
        <v>58384.6961764707</v>
      </c>
      <c r="H159">
        <v>43679.2727272727</v>
      </c>
      <c r="I159">
        <v>494942.732727273</v>
      </c>
      <c r="L159">
        <v>83.0880309363363</v>
      </c>
      <c r="M159">
        <v>66</v>
      </c>
      <c r="N159" t="str">
        <f t="shared" si="4"/>
        <v>B</v>
      </c>
      <c r="O159" t="str">
        <f t="shared" si="5"/>
        <v>中期</v>
      </c>
    </row>
    <row r="160" spans="1:15">
      <c r="A160" s="2" t="s">
        <v>167</v>
      </c>
      <c r="B160">
        <v>11977184.0299999</v>
      </c>
      <c r="C160">
        <v>899463.480000001</v>
      </c>
      <c r="D160">
        <v>21071603.49</v>
      </c>
      <c r="E160">
        <v>977157.139999997</v>
      </c>
      <c r="F160">
        <v>315189.053421052</v>
      </c>
      <c r="G160">
        <v>23670.0915789474</v>
      </c>
      <c r="H160">
        <v>25714.6615789473</v>
      </c>
      <c r="I160">
        <v>554515.88131579</v>
      </c>
      <c r="L160">
        <v>83.0672437652987</v>
      </c>
      <c r="M160">
        <v>66</v>
      </c>
      <c r="N160" t="str">
        <f t="shared" si="4"/>
        <v>B</v>
      </c>
      <c r="O160" t="str">
        <f t="shared" si="5"/>
        <v>中期</v>
      </c>
    </row>
    <row r="161" spans="1:15">
      <c r="A161" s="2" t="s">
        <v>168</v>
      </c>
      <c r="B161">
        <v>15198205.3599999</v>
      </c>
      <c r="C161">
        <v>2171527.63</v>
      </c>
      <c r="D161">
        <v>19645465.23</v>
      </c>
      <c r="E161">
        <v>3045998.21</v>
      </c>
      <c r="F161">
        <v>410762.307027026</v>
      </c>
      <c r="G161">
        <v>58689.9359459459</v>
      </c>
      <c r="H161">
        <v>82324.2759459459</v>
      </c>
      <c r="I161">
        <v>530958.519729729</v>
      </c>
      <c r="L161">
        <v>74.9453559875606</v>
      </c>
      <c r="M161">
        <v>67</v>
      </c>
      <c r="N161" t="str">
        <f t="shared" si="4"/>
        <v>C</v>
      </c>
      <c r="O161" t="str">
        <f t="shared" si="5"/>
        <v>短期</v>
      </c>
    </row>
    <row r="162" spans="1:15">
      <c r="A162" s="2" t="s">
        <v>169</v>
      </c>
      <c r="B162">
        <v>10717026.2399999</v>
      </c>
      <c r="C162">
        <v>1512829.92999999</v>
      </c>
      <c r="D162">
        <v>16027714.88</v>
      </c>
      <c r="E162">
        <v>2444025.61999999</v>
      </c>
      <c r="F162">
        <v>282027.006315789</v>
      </c>
      <c r="G162">
        <v>39811.3139473683</v>
      </c>
      <c r="H162">
        <v>66054.7464864864</v>
      </c>
      <c r="I162">
        <v>433181.483243243</v>
      </c>
      <c r="L162">
        <v>74.8384391100829</v>
      </c>
      <c r="M162">
        <v>67</v>
      </c>
      <c r="N162" t="str">
        <f t="shared" si="4"/>
        <v>C</v>
      </c>
      <c r="O162" t="str">
        <f t="shared" si="5"/>
        <v>短期</v>
      </c>
    </row>
    <row r="163" spans="1:15">
      <c r="A163" s="2" t="s">
        <v>170</v>
      </c>
      <c r="B163">
        <v>16078594.04</v>
      </c>
      <c r="C163">
        <v>2344516.84</v>
      </c>
      <c r="D163">
        <v>30216720.82</v>
      </c>
      <c r="E163">
        <v>3835772.69</v>
      </c>
      <c r="F163">
        <v>446627.612222222</v>
      </c>
      <c r="G163">
        <v>65125.4677777779</v>
      </c>
      <c r="H163">
        <v>106549.241388889</v>
      </c>
      <c r="I163">
        <v>839353.356111111</v>
      </c>
      <c r="L163">
        <v>83.1749595561289</v>
      </c>
      <c r="M163">
        <v>66</v>
      </c>
      <c r="N163" t="str">
        <f t="shared" si="4"/>
        <v>B</v>
      </c>
      <c r="O163" t="str">
        <f t="shared" si="5"/>
        <v>中期</v>
      </c>
    </row>
    <row r="164" spans="1:15">
      <c r="A164" s="2" t="s">
        <v>171</v>
      </c>
      <c r="B164">
        <v>11293218.6899999</v>
      </c>
      <c r="C164">
        <v>1595995.36999999</v>
      </c>
      <c r="D164">
        <v>12127861.53</v>
      </c>
      <c r="E164">
        <v>1714878.46999999</v>
      </c>
      <c r="F164">
        <v>470550.778749999</v>
      </c>
      <c r="G164">
        <v>66499.8070833333</v>
      </c>
      <c r="H164">
        <v>74559.9334782607</v>
      </c>
      <c r="I164">
        <v>527298.327391304</v>
      </c>
      <c r="L164">
        <v>74.9970777968387</v>
      </c>
      <c r="M164">
        <v>67</v>
      </c>
      <c r="N164" t="str">
        <f t="shared" si="4"/>
        <v>C</v>
      </c>
      <c r="O164" t="str">
        <f t="shared" si="5"/>
        <v>短期</v>
      </c>
    </row>
    <row r="165" spans="1:15">
      <c r="A165" s="2" t="s">
        <v>172</v>
      </c>
      <c r="B165">
        <v>14278828.8799999</v>
      </c>
      <c r="C165">
        <v>2210717.92999999</v>
      </c>
      <c r="D165">
        <v>15043409.13</v>
      </c>
      <c r="E165">
        <v>2325767.76999999</v>
      </c>
      <c r="F165">
        <v>385914.294054053</v>
      </c>
      <c r="G165">
        <v>59749.1332432432</v>
      </c>
      <c r="H165">
        <v>62858.5883783783</v>
      </c>
      <c r="I165">
        <v>406578.625135135</v>
      </c>
      <c r="L165">
        <v>74.8857341862583</v>
      </c>
      <c r="M165">
        <v>67</v>
      </c>
      <c r="N165" t="str">
        <f t="shared" si="4"/>
        <v>C</v>
      </c>
      <c r="O165" t="str">
        <f t="shared" si="5"/>
        <v>短期</v>
      </c>
    </row>
    <row r="166" spans="1:15">
      <c r="A166" s="2" t="s">
        <v>173</v>
      </c>
      <c r="B166">
        <v>13186165.1399999</v>
      </c>
      <c r="C166">
        <v>1983995.19</v>
      </c>
      <c r="D166">
        <v>16013736.53</v>
      </c>
      <c r="E166">
        <v>2542966.2</v>
      </c>
      <c r="F166">
        <v>425360.165806451</v>
      </c>
      <c r="G166">
        <v>63999.8448387096</v>
      </c>
      <c r="H166">
        <v>77059.5818181818</v>
      </c>
      <c r="I166">
        <v>485264.743333333</v>
      </c>
      <c r="L166">
        <v>74.932084054649</v>
      </c>
      <c r="M166">
        <v>67</v>
      </c>
      <c r="N166" t="str">
        <f t="shared" si="4"/>
        <v>C</v>
      </c>
      <c r="O166" t="str">
        <f t="shared" si="5"/>
        <v>短期</v>
      </c>
    </row>
    <row r="167" spans="1:15">
      <c r="A167" s="2" t="s">
        <v>174</v>
      </c>
      <c r="B167">
        <v>7236380.20000004</v>
      </c>
      <c r="C167">
        <v>635867.309999999</v>
      </c>
      <c r="D167">
        <v>21051602.52</v>
      </c>
      <c r="E167">
        <v>631547.989999999</v>
      </c>
      <c r="F167">
        <v>190431.057894737</v>
      </c>
      <c r="G167">
        <v>16733.3502631578</v>
      </c>
      <c r="H167">
        <v>17068.8645945945</v>
      </c>
      <c r="I167">
        <v>568962.230270271</v>
      </c>
      <c r="L167">
        <v>83.0586529352176</v>
      </c>
      <c r="M167">
        <v>66</v>
      </c>
      <c r="N167" t="str">
        <f t="shared" si="4"/>
        <v>B</v>
      </c>
      <c r="O167" t="str">
        <f t="shared" si="5"/>
        <v>中期</v>
      </c>
    </row>
    <row r="168" spans="1:15">
      <c r="A168" s="2" t="s">
        <v>175</v>
      </c>
      <c r="B168">
        <v>5306769.01999999</v>
      </c>
      <c r="C168">
        <v>791144.95</v>
      </c>
      <c r="D168">
        <v>16894268.32</v>
      </c>
      <c r="E168">
        <v>2494782.05</v>
      </c>
      <c r="F168">
        <v>139651.816315789</v>
      </c>
      <c r="G168">
        <v>20819.6039473684</v>
      </c>
      <c r="H168">
        <v>67426.5418918919</v>
      </c>
      <c r="I168">
        <v>456601.846486486</v>
      </c>
      <c r="L168">
        <v>74.7832536004695</v>
      </c>
      <c r="M168">
        <v>67</v>
      </c>
      <c r="N168" t="str">
        <f t="shared" si="4"/>
        <v>C</v>
      </c>
      <c r="O168" t="str">
        <f t="shared" si="5"/>
        <v>短期</v>
      </c>
    </row>
    <row r="169" spans="1:15">
      <c r="A169" s="2" t="s">
        <v>176</v>
      </c>
      <c r="B169">
        <v>16817356.2299999</v>
      </c>
      <c r="C169">
        <v>1818822.56999999</v>
      </c>
      <c r="D169">
        <v>11223475.72</v>
      </c>
      <c r="E169">
        <v>1773813.3</v>
      </c>
      <c r="F169">
        <v>579908.83551724</v>
      </c>
      <c r="G169">
        <v>62718.0196551722</v>
      </c>
      <c r="H169">
        <v>221726.6625</v>
      </c>
      <c r="I169">
        <v>1402934.465</v>
      </c>
      <c r="L169">
        <v>83.3672963282023</v>
      </c>
      <c r="M169">
        <v>66</v>
      </c>
      <c r="N169" t="str">
        <f t="shared" si="4"/>
        <v>B</v>
      </c>
      <c r="O169" t="str">
        <f t="shared" si="5"/>
        <v>中期</v>
      </c>
    </row>
    <row r="170" spans="1:15">
      <c r="A170" s="2" t="s">
        <v>177</v>
      </c>
      <c r="B170">
        <v>6835386.23</v>
      </c>
      <c r="C170">
        <v>653070.769999999</v>
      </c>
      <c r="D170">
        <v>11604986.8700001</v>
      </c>
      <c r="E170">
        <v>861912.92</v>
      </c>
      <c r="F170">
        <v>201040.771470588</v>
      </c>
      <c r="G170">
        <v>19207.9638235293</v>
      </c>
      <c r="H170">
        <v>26118.5733333333</v>
      </c>
      <c r="I170">
        <v>351666.268787882</v>
      </c>
      <c r="L170">
        <v>74.8347985291697</v>
      </c>
      <c r="M170">
        <v>67</v>
      </c>
      <c r="N170" t="str">
        <f t="shared" si="4"/>
        <v>C</v>
      </c>
      <c r="O170" t="str">
        <f t="shared" si="5"/>
        <v>短期</v>
      </c>
    </row>
    <row r="171" spans="1:15">
      <c r="A171" s="2" t="s">
        <v>178</v>
      </c>
      <c r="B171">
        <v>7511439.88</v>
      </c>
      <c r="C171">
        <v>1062104.58</v>
      </c>
      <c r="D171">
        <v>7696185.75</v>
      </c>
      <c r="E171">
        <v>1135045.39</v>
      </c>
      <c r="F171">
        <v>326584.342608695</v>
      </c>
      <c r="G171">
        <v>46178.46</v>
      </c>
      <c r="H171">
        <v>30676.9024324324</v>
      </c>
      <c r="I171">
        <v>208005.02027027</v>
      </c>
      <c r="L171">
        <v>74.7656465815259</v>
      </c>
      <c r="M171">
        <v>67</v>
      </c>
      <c r="N171" t="str">
        <f t="shared" si="4"/>
        <v>C</v>
      </c>
      <c r="O171" t="str">
        <f t="shared" si="5"/>
        <v>短期</v>
      </c>
    </row>
    <row r="172" spans="1:15">
      <c r="A172" s="2" t="s">
        <v>179</v>
      </c>
      <c r="B172">
        <v>4089504.26</v>
      </c>
      <c r="C172">
        <v>476579.319999999</v>
      </c>
      <c r="D172">
        <v>22641319.8899999</v>
      </c>
      <c r="E172">
        <v>3547704.11999999</v>
      </c>
      <c r="F172">
        <v>136316.808666666</v>
      </c>
      <c r="G172">
        <v>15885.9773333333</v>
      </c>
      <c r="H172">
        <v>98547.3366666666</v>
      </c>
      <c r="I172">
        <v>628925.552499999</v>
      </c>
      <c r="L172">
        <v>74.8354599771383</v>
      </c>
      <c r="M172">
        <v>67</v>
      </c>
      <c r="N172" t="str">
        <f t="shared" si="4"/>
        <v>C</v>
      </c>
      <c r="O172" t="str">
        <f t="shared" si="5"/>
        <v>短期</v>
      </c>
    </row>
    <row r="173" spans="1:15">
      <c r="A173" s="2" t="s">
        <v>180</v>
      </c>
      <c r="B173">
        <v>11177597.67</v>
      </c>
      <c r="C173">
        <v>1687666.27</v>
      </c>
      <c r="D173">
        <v>13675456.42</v>
      </c>
      <c r="E173">
        <v>2116499.77</v>
      </c>
      <c r="F173">
        <v>302097.234324325</v>
      </c>
      <c r="G173">
        <v>45612.6018918919</v>
      </c>
      <c r="H173">
        <v>64136.3566666666</v>
      </c>
      <c r="I173">
        <v>414407.77030303</v>
      </c>
      <c r="L173">
        <v>74.8419006908321</v>
      </c>
      <c r="M173">
        <v>67</v>
      </c>
      <c r="N173" t="str">
        <f t="shared" si="4"/>
        <v>C</v>
      </c>
      <c r="O173" t="str">
        <f t="shared" si="5"/>
        <v>短期</v>
      </c>
    </row>
    <row r="174" spans="1:15">
      <c r="A174" s="2" t="s">
        <v>181</v>
      </c>
      <c r="B174">
        <v>5441938.89</v>
      </c>
      <c r="C174">
        <v>364491.8</v>
      </c>
      <c r="D174">
        <v>12371267.1599999</v>
      </c>
      <c r="E174">
        <v>823132.21</v>
      </c>
      <c r="F174">
        <v>194354.960357143</v>
      </c>
      <c r="G174">
        <v>13017.5642857142</v>
      </c>
      <c r="H174">
        <v>41156.6105</v>
      </c>
      <c r="I174">
        <v>618563.357999998</v>
      </c>
      <c r="L174">
        <v>83.0234720687583</v>
      </c>
      <c r="M174">
        <v>66</v>
      </c>
      <c r="N174" t="str">
        <f t="shared" si="4"/>
        <v>B</v>
      </c>
      <c r="O174" t="str">
        <f t="shared" si="5"/>
        <v>中期</v>
      </c>
    </row>
    <row r="175" spans="1:15">
      <c r="A175" s="2" t="s">
        <v>182</v>
      </c>
      <c r="B175">
        <v>10296967.85</v>
      </c>
      <c r="C175">
        <v>1521992.15</v>
      </c>
      <c r="D175">
        <v>13646000.04</v>
      </c>
      <c r="E175">
        <v>2044372.96</v>
      </c>
      <c r="F175">
        <v>792074.45</v>
      </c>
      <c r="G175">
        <v>117076.319230769</v>
      </c>
      <c r="H175">
        <v>146026.64</v>
      </c>
      <c r="I175">
        <v>974714.288571428</v>
      </c>
      <c r="L175">
        <v>83.3596821747448</v>
      </c>
      <c r="M175">
        <v>66</v>
      </c>
      <c r="N175" t="str">
        <f t="shared" si="4"/>
        <v>B</v>
      </c>
      <c r="O175" t="str">
        <f t="shared" si="5"/>
        <v>中期</v>
      </c>
    </row>
    <row r="176" spans="1:15">
      <c r="A176" s="2" t="s">
        <v>183</v>
      </c>
      <c r="B176">
        <v>5471901.90000005</v>
      </c>
      <c r="C176">
        <v>276398.160000001</v>
      </c>
      <c r="D176">
        <v>16228313.1699999</v>
      </c>
      <c r="E176">
        <v>509962.270000006</v>
      </c>
      <c r="F176">
        <v>195425.067857144</v>
      </c>
      <c r="G176">
        <v>9871.36285714291</v>
      </c>
      <c r="H176">
        <v>13420.0597368422</v>
      </c>
      <c r="I176">
        <v>427060.872894734</v>
      </c>
      <c r="L176">
        <v>74.9300825925052</v>
      </c>
      <c r="M176">
        <v>67</v>
      </c>
      <c r="N176" t="str">
        <f t="shared" si="4"/>
        <v>C</v>
      </c>
      <c r="O176" t="str">
        <f t="shared" si="5"/>
        <v>短期</v>
      </c>
    </row>
    <row r="177" spans="1:15">
      <c r="A177" s="2" t="s">
        <v>184</v>
      </c>
      <c r="B177">
        <v>24189235.7299999</v>
      </c>
      <c r="C177">
        <v>2635057.55999999</v>
      </c>
      <c r="D177">
        <v>19682705.99</v>
      </c>
      <c r="E177">
        <v>2188745.75</v>
      </c>
      <c r="F177">
        <v>636558.834999998</v>
      </c>
      <c r="G177">
        <v>69343.6199999999</v>
      </c>
      <c r="H177">
        <v>57598.5723684213</v>
      </c>
      <c r="I177">
        <v>517965.947105263</v>
      </c>
      <c r="L177">
        <v>83.0995925367938</v>
      </c>
      <c r="M177">
        <v>66</v>
      </c>
      <c r="N177" t="str">
        <f t="shared" si="4"/>
        <v>B</v>
      </c>
      <c r="O177" t="str">
        <f t="shared" si="5"/>
        <v>中期</v>
      </c>
    </row>
    <row r="178" spans="1:15">
      <c r="A178" s="2" t="s">
        <v>185</v>
      </c>
      <c r="B178">
        <v>14744459.95</v>
      </c>
      <c r="C178">
        <v>1388451.74</v>
      </c>
      <c r="D178">
        <v>18538935.7899999</v>
      </c>
      <c r="E178">
        <v>1707802.97999999</v>
      </c>
      <c r="F178">
        <v>421270.284285715</v>
      </c>
      <c r="G178">
        <v>39670.0497142857</v>
      </c>
      <c r="H178">
        <v>85390.1489999997</v>
      </c>
      <c r="I178">
        <v>926946.789499999</v>
      </c>
      <c r="L178">
        <v>83.2791458049603</v>
      </c>
      <c r="M178">
        <v>66</v>
      </c>
      <c r="N178" t="str">
        <f t="shared" si="4"/>
        <v>B</v>
      </c>
      <c r="O178" t="str">
        <f t="shared" si="5"/>
        <v>中期</v>
      </c>
    </row>
    <row r="179" spans="1:15">
      <c r="A179" s="2" t="s">
        <v>186</v>
      </c>
      <c r="B179">
        <v>3919541.14000001</v>
      </c>
      <c r="C179">
        <v>199036.53</v>
      </c>
      <c r="D179">
        <v>15413221.2999999</v>
      </c>
      <c r="E179">
        <v>825463.759999999</v>
      </c>
      <c r="F179">
        <v>111986.889714286</v>
      </c>
      <c r="G179">
        <v>5686.75800000001</v>
      </c>
      <c r="H179">
        <v>24278.3458823529</v>
      </c>
      <c r="I179">
        <v>453330.038235293</v>
      </c>
      <c r="L179">
        <v>74.8872632511087</v>
      </c>
      <c r="M179">
        <v>67</v>
      </c>
      <c r="N179" t="str">
        <f t="shared" si="4"/>
        <v>C</v>
      </c>
      <c r="O179" t="str">
        <f t="shared" si="5"/>
        <v>短期</v>
      </c>
    </row>
    <row r="180" spans="1:15">
      <c r="A180" s="2" t="s">
        <v>187</v>
      </c>
      <c r="B180">
        <v>3118772.12</v>
      </c>
      <c r="C180">
        <v>375515.29</v>
      </c>
      <c r="D180">
        <v>9362480.97</v>
      </c>
      <c r="E180">
        <v>1390533.62999999</v>
      </c>
      <c r="F180">
        <v>82072.9505263158</v>
      </c>
      <c r="G180">
        <v>9881.98131578947</v>
      </c>
      <c r="H180">
        <v>38625.9341666666</v>
      </c>
      <c r="I180">
        <v>260068.915833333</v>
      </c>
      <c r="L180">
        <v>74.6588482068533</v>
      </c>
      <c r="M180">
        <v>67</v>
      </c>
      <c r="N180" t="str">
        <f t="shared" si="4"/>
        <v>C</v>
      </c>
      <c r="O180" t="str">
        <f t="shared" si="5"/>
        <v>短期</v>
      </c>
    </row>
    <row r="181" spans="1:15">
      <c r="A181" s="2" t="s">
        <v>188</v>
      </c>
      <c r="B181">
        <v>2176920.40999999</v>
      </c>
      <c r="C181">
        <v>246191.559999999</v>
      </c>
      <c r="D181">
        <v>16347545.81</v>
      </c>
      <c r="E181">
        <v>80872.89</v>
      </c>
      <c r="F181">
        <v>64027.0708823527</v>
      </c>
      <c r="G181">
        <v>7240.9282352941</v>
      </c>
      <c r="H181">
        <v>2450.69363636363</v>
      </c>
      <c r="I181">
        <v>495380.176060606</v>
      </c>
      <c r="L181">
        <v>74.9831547773167</v>
      </c>
      <c r="M181">
        <v>67</v>
      </c>
      <c r="N181" t="str">
        <f t="shared" si="4"/>
        <v>C</v>
      </c>
      <c r="O181" t="str">
        <f t="shared" si="5"/>
        <v>短期</v>
      </c>
    </row>
    <row r="182" spans="1:15">
      <c r="A182" s="2" t="s">
        <v>189</v>
      </c>
      <c r="B182">
        <v>16812220.66</v>
      </c>
      <c r="C182">
        <v>2227649.60999999</v>
      </c>
      <c r="D182">
        <v>9378613.34999999</v>
      </c>
      <c r="E182">
        <v>1405563.44</v>
      </c>
      <c r="F182">
        <v>454384.342162162</v>
      </c>
      <c r="G182">
        <v>60206.7462162161</v>
      </c>
      <c r="H182">
        <v>37988.2010810811</v>
      </c>
      <c r="I182">
        <v>253476.036486486</v>
      </c>
      <c r="L182">
        <v>74.845311309466</v>
      </c>
      <c r="M182">
        <v>67</v>
      </c>
      <c r="N182" t="str">
        <f t="shared" si="4"/>
        <v>C</v>
      </c>
      <c r="O182" t="str">
        <f t="shared" si="5"/>
        <v>短期</v>
      </c>
    </row>
    <row r="183" spans="1:15">
      <c r="A183" s="2" t="s">
        <v>190</v>
      </c>
      <c r="B183">
        <v>19412737.8399999</v>
      </c>
      <c r="C183">
        <v>151456.23</v>
      </c>
      <c r="D183">
        <v>47837106.2399999</v>
      </c>
      <c r="E183">
        <v>2671421.74999999</v>
      </c>
      <c r="F183">
        <v>539242.717777777</v>
      </c>
      <c r="G183">
        <v>4207.1175</v>
      </c>
      <c r="H183">
        <v>102746.990384615</v>
      </c>
      <c r="I183">
        <v>1839888.70153846</v>
      </c>
      <c r="L183">
        <v>84.0590914687037</v>
      </c>
      <c r="M183">
        <v>66</v>
      </c>
      <c r="N183" t="str">
        <f t="shared" si="4"/>
        <v>B</v>
      </c>
      <c r="O183" t="str">
        <f t="shared" si="5"/>
        <v>中期</v>
      </c>
    </row>
    <row r="184" spans="1:15">
      <c r="A184" s="3" t="s">
        <v>191</v>
      </c>
      <c r="B184">
        <v>3607070.90999999</v>
      </c>
      <c r="C184">
        <v>340621.069999999</v>
      </c>
      <c r="D184">
        <v>12549784.5999999</v>
      </c>
      <c r="E184">
        <v>845471.639999999</v>
      </c>
      <c r="F184">
        <v>116357.126129032</v>
      </c>
      <c r="G184">
        <v>10987.7764516128</v>
      </c>
      <c r="H184">
        <v>24866.8129411764</v>
      </c>
      <c r="I184">
        <v>369111.311764705</v>
      </c>
      <c r="L184">
        <v>74.8162816893544</v>
      </c>
      <c r="M184">
        <v>67</v>
      </c>
      <c r="N184" t="str">
        <f t="shared" si="4"/>
        <v>C</v>
      </c>
      <c r="O184" t="str">
        <f t="shared" si="5"/>
        <v>短期</v>
      </c>
    </row>
    <row r="185" spans="1:15">
      <c r="A185" s="2" t="s">
        <v>192</v>
      </c>
      <c r="B185">
        <v>3079011.12999999</v>
      </c>
      <c r="C185">
        <v>150204.299999999</v>
      </c>
      <c r="D185">
        <v>6136165.46999999</v>
      </c>
      <c r="E185">
        <v>552826.449999999</v>
      </c>
      <c r="F185">
        <v>93303.3675757575</v>
      </c>
      <c r="G185">
        <v>4551.64545454545</v>
      </c>
      <c r="H185">
        <v>39487.6035714285</v>
      </c>
      <c r="I185">
        <v>438297.533571428</v>
      </c>
      <c r="L185">
        <v>74.8171865407595</v>
      </c>
      <c r="M185">
        <v>67</v>
      </c>
      <c r="N185" t="str">
        <f t="shared" si="4"/>
        <v>C</v>
      </c>
      <c r="O185" t="str">
        <f t="shared" si="5"/>
        <v>短期</v>
      </c>
    </row>
    <row r="186" spans="1:15">
      <c r="A186" s="2" t="s">
        <v>193</v>
      </c>
      <c r="B186">
        <v>8216874.25999999</v>
      </c>
      <c r="C186">
        <v>176823.089999999</v>
      </c>
      <c r="D186">
        <v>11938831.5599996</v>
      </c>
      <c r="E186">
        <v>358162.829999998</v>
      </c>
      <c r="F186">
        <v>222077.682702702</v>
      </c>
      <c r="G186">
        <v>4779.00243243243</v>
      </c>
      <c r="H186">
        <v>9680.07648648644</v>
      </c>
      <c r="I186">
        <v>322671.123243234</v>
      </c>
      <c r="L186">
        <v>74.8461207999429</v>
      </c>
      <c r="M186">
        <v>67</v>
      </c>
      <c r="N186" t="str">
        <f t="shared" si="4"/>
        <v>C</v>
      </c>
      <c r="O186" t="str">
        <f t="shared" si="5"/>
        <v>短期</v>
      </c>
    </row>
    <row r="187" spans="1:15">
      <c r="A187" s="3" t="s">
        <v>194</v>
      </c>
      <c r="B187">
        <v>6372921.70000001</v>
      </c>
      <c r="C187">
        <v>423554.499999999</v>
      </c>
      <c r="D187">
        <v>12733306.4099999</v>
      </c>
      <c r="E187">
        <v>709799.089999999</v>
      </c>
      <c r="F187">
        <v>205578.119354839</v>
      </c>
      <c r="G187">
        <v>13663.0483870967</v>
      </c>
      <c r="H187">
        <v>21509.0633333333</v>
      </c>
      <c r="I187">
        <v>385857.769999999</v>
      </c>
      <c r="L187">
        <v>74.8746691876533</v>
      </c>
      <c r="M187">
        <v>67</v>
      </c>
      <c r="N187" t="str">
        <f t="shared" si="4"/>
        <v>C</v>
      </c>
      <c r="O187" t="str">
        <f t="shared" si="5"/>
        <v>短期</v>
      </c>
    </row>
    <row r="188" spans="1:15">
      <c r="A188" s="2" t="s">
        <v>195</v>
      </c>
      <c r="B188">
        <v>3675969.84000001</v>
      </c>
      <c r="C188">
        <v>180589.079999999</v>
      </c>
      <c r="D188">
        <v>11111512.2900001</v>
      </c>
      <c r="E188">
        <v>448608.239999999</v>
      </c>
      <c r="F188">
        <v>118579.672258064</v>
      </c>
      <c r="G188">
        <v>5825.45419354838</v>
      </c>
      <c r="H188">
        <v>14471.233548387</v>
      </c>
      <c r="I188">
        <v>358435.880322583</v>
      </c>
      <c r="L188">
        <v>74.8327812079665</v>
      </c>
      <c r="M188">
        <v>67</v>
      </c>
      <c r="N188" t="str">
        <f t="shared" si="4"/>
        <v>C</v>
      </c>
      <c r="O188" t="str">
        <f t="shared" si="5"/>
        <v>短期</v>
      </c>
    </row>
    <row r="189" spans="1:15">
      <c r="A189" s="2" t="s">
        <v>196</v>
      </c>
      <c r="B189">
        <v>1996852.27999999</v>
      </c>
      <c r="C189">
        <v>149165.589999999</v>
      </c>
      <c r="D189">
        <v>10671429.46</v>
      </c>
      <c r="E189">
        <v>320142.55</v>
      </c>
      <c r="F189">
        <v>73957.4918518517</v>
      </c>
      <c r="G189">
        <v>5524.65148148145</v>
      </c>
      <c r="H189">
        <v>12313.175</v>
      </c>
      <c r="I189">
        <v>410439.594615386</v>
      </c>
      <c r="L189">
        <v>74.8733944375801</v>
      </c>
      <c r="M189">
        <v>67</v>
      </c>
      <c r="N189" t="str">
        <f t="shared" si="4"/>
        <v>C</v>
      </c>
      <c r="O189" t="str">
        <f t="shared" si="5"/>
        <v>短期</v>
      </c>
    </row>
    <row r="190" spans="1:15">
      <c r="A190" s="2" t="s">
        <v>197</v>
      </c>
      <c r="B190">
        <v>73673797.9300002</v>
      </c>
      <c r="C190">
        <v>9940748.08</v>
      </c>
      <c r="D190">
        <v>12251621.2199999</v>
      </c>
      <c r="E190">
        <v>1941925.32999999</v>
      </c>
      <c r="F190">
        <v>1991183.72783784</v>
      </c>
      <c r="G190">
        <v>268668.867027027</v>
      </c>
      <c r="H190">
        <v>52484.4683783783</v>
      </c>
      <c r="I190">
        <v>331124.897837837</v>
      </c>
      <c r="L190">
        <v>83.6647888717167</v>
      </c>
      <c r="M190">
        <v>66</v>
      </c>
      <c r="N190" t="str">
        <f t="shared" si="4"/>
        <v>B</v>
      </c>
      <c r="O190" t="str">
        <f t="shared" si="5"/>
        <v>中期</v>
      </c>
    </row>
    <row r="191" spans="1:15">
      <c r="A191" s="2" t="s">
        <v>198</v>
      </c>
      <c r="B191">
        <v>7075381.47999999</v>
      </c>
      <c r="C191">
        <v>1062818.90999999</v>
      </c>
      <c r="D191">
        <v>13222546.68</v>
      </c>
      <c r="E191">
        <v>1337698.39</v>
      </c>
      <c r="F191">
        <v>186194.249473684</v>
      </c>
      <c r="G191">
        <v>27968.9186842105</v>
      </c>
      <c r="H191">
        <v>36154.0105405405</v>
      </c>
      <c r="I191">
        <v>357366.126486486</v>
      </c>
      <c r="L191">
        <v>74.8160523075326</v>
      </c>
      <c r="M191">
        <v>67</v>
      </c>
      <c r="N191" t="str">
        <f t="shared" si="4"/>
        <v>C</v>
      </c>
      <c r="O191" t="str">
        <f t="shared" si="5"/>
        <v>短期</v>
      </c>
    </row>
    <row r="192" spans="1:15">
      <c r="A192" s="2" t="s">
        <v>199</v>
      </c>
      <c r="B192">
        <v>2971881.77</v>
      </c>
      <c r="C192">
        <v>121061.079999999</v>
      </c>
      <c r="D192">
        <v>7405442.54</v>
      </c>
      <c r="E192">
        <v>222163.459999999</v>
      </c>
      <c r="F192">
        <v>92871.3053125</v>
      </c>
      <c r="G192">
        <v>3783.15874999999</v>
      </c>
      <c r="H192">
        <v>7166.56322580645</v>
      </c>
      <c r="I192">
        <v>238885.243225806</v>
      </c>
      <c r="L192">
        <v>74.734038518351</v>
      </c>
      <c r="M192">
        <v>67</v>
      </c>
      <c r="N192" t="str">
        <f t="shared" si="4"/>
        <v>C</v>
      </c>
      <c r="O192" t="str">
        <f t="shared" si="5"/>
        <v>短期</v>
      </c>
    </row>
    <row r="193" spans="1:15">
      <c r="A193" s="2" t="s">
        <v>200</v>
      </c>
      <c r="B193">
        <v>2140613.28</v>
      </c>
      <c r="C193">
        <v>302747.049999999</v>
      </c>
      <c r="D193">
        <v>11439913.5699999</v>
      </c>
      <c r="E193">
        <v>1778881.45999999</v>
      </c>
      <c r="F193">
        <v>57854.4129729729</v>
      </c>
      <c r="G193">
        <v>8182.35270270269</v>
      </c>
      <c r="H193">
        <v>48077.8772972972</v>
      </c>
      <c r="I193">
        <v>309186.853243242</v>
      </c>
      <c r="L193">
        <v>74.6641721488694</v>
      </c>
      <c r="M193">
        <v>67</v>
      </c>
      <c r="N193" t="str">
        <f t="shared" si="4"/>
        <v>C</v>
      </c>
      <c r="O193" t="str">
        <f t="shared" si="5"/>
        <v>短期</v>
      </c>
    </row>
    <row r="194" spans="1:15">
      <c r="A194" s="3" t="s">
        <v>201</v>
      </c>
      <c r="B194">
        <v>2516088.68999999</v>
      </c>
      <c r="C194">
        <v>301464.96</v>
      </c>
      <c r="D194">
        <v>10820742.9699999</v>
      </c>
      <c r="E194">
        <v>1588744.60999999</v>
      </c>
      <c r="F194">
        <v>69891.3524999999</v>
      </c>
      <c r="G194">
        <v>8374.02666666667</v>
      </c>
      <c r="H194">
        <v>48143.776060606</v>
      </c>
      <c r="I194">
        <v>327901.302121211</v>
      </c>
      <c r="L194">
        <v>74.6853767528272</v>
      </c>
      <c r="M194">
        <v>67</v>
      </c>
      <c r="N194" t="str">
        <f t="shared" si="4"/>
        <v>C</v>
      </c>
      <c r="O194" t="str">
        <f t="shared" si="5"/>
        <v>短期</v>
      </c>
    </row>
    <row r="195" spans="1:15">
      <c r="A195" s="2" t="s">
        <v>202</v>
      </c>
      <c r="B195">
        <v>1637924.22999999</v>
      </c>
      <c r="C195">
        <v>96865.6599999999</v>
      </c>
      <c r="D195">
        <v>5715048.96</v>
      </c>
      <c r="E195">
        <v>366605.569999999</v>
      </c>
      <c r="F195">
        <v>52836.2654838709</v>
      </c>
      <c r="G195">
        <v>3124.69870967741</v>
      </c>
      <c r="H195">
        <v>14664.2227999999</v>
      </c>
      <c r="I195">
        <v>228601.9584</v>
      </c>
      <c r="L195">
        <v>74.6870011033834</v>
      </c>
      <c r="M195">
        <v>67</v>
      </c>
      <c r="N195" t="str">
        <f t="shared" ref="N195:N258" si="6">_xlfn.SWITCH(M195,65,"A",66,"B",67,"C",68,"D")</f>
        <v>C</v>
      </c>
      <c r="O195" t="str">
        <f t="shared" ref="O195:O258" si="7">_xlfn.SWITCH(N195,"A","长期","B","中期","C","短期","D","不提供借贷")</f>
        <v>短期</v>
      </c>
    </row>
    <row r="196" spans="1:15">
      <c r="A196" s="2" t="s">
        <v>203</v>
      </c>
      <c r="B196">
        <v>1186897.16</v>
      </c>
      <c r="C196">
        <v>89994.3999999999</v>
      </c>
      <c r="D196">
        <v>11136065.7899999</v>
      </c>
      <c r="E196">
        <v>1730536.16</v>
      </c>
      <c r="F196">
        <v>31234.1357894737</v>
      </c>
      <c r="G196">
        <v>2368.27368421052</v>
      </c>
      <c r="H196">
        <v>45540.4252631579</v>
      </c>
      <c r="I196">
        <v>293054.362894736</v>
      </c>
      <c r="L196">
        <v>74.6404957400597</v>
      </c>
      <c r="M196">
        <v>67</v>
      </c>
      <c r="N196" t="str">
        <f t="shared" si="6"/>
        <v>C</v>
      </c>
      <c r="O196" t="str">
        <f t="shared" si="7"/>
        <v>短期</v>
      </c>
    </row>
    <row r="197" spans="1:15">
      <c r="A197" s="3" t="s">
        <v>204</v>
      </c>
      <c r="B197">
        <v>7265941.14</v>
      </c>
      <c r="C197">
        <v>1129321.00999999</v>
      </c>
      <c r="D197">
        <v>13556534.74</v>
      </c>
      <c r="E197">
        <v>2159632.23</v>
      </c>
      <c r="F197">
        <v>242198.038</v>
      </c>
      <c r="G197">
        <v>37644.0336666666</v>
      </c>
      <c r="H197">
        <v>59989.7841666666</v>
      </c>
      <c r="I197">
        <v>376570.409444444</v>
      </c>
      <c r="L197">
        <v>74.7895384470165</v>
      </c>
      <c r="M197">
        <v>67</v>
      </c>
      <c r="N197" t="str">
        <f t="shared" si="6"/>
        <v>C</v>
      </c>
      <c r="O197" t="str">
        <f t="shared" si="7"/>
        <v>短期</v>
      </c>
    </row>
    <row r="198" spans="1:15">
      <c r="A198" s="2" t="s">
        <v>205</v>
      </c>
      <c r="B198">
        <v>6696594.76</v>
      </c>
      <c r="C198">
        <v>68453.36</v>
      </c>
      <c r="D198">
        <v>8499217.04</v>
      </c>
      <c r="E198">
        <v>509953.27</v>
      </c>
      <c r="F198">
        <v>223219.825333333</v>
      </c>
      <c r="G198">
        <v>2281.77866666666</v>
      </c>
      <c r="H198">
        <v>84992.2116666667</v>
      </c>
      <c r="I198">
        <v>1416536.17333333</v>
      </c>
      <c r="L198">
        <v>73.6179186184355</v>
      </c>
      <c r="M198">
        <v>67</v>
      </c>
      <c r="N198" t="str">
        <f t="shared" si="6"/>
        <v>C</v>
      </c>
      <c r="O198" t="str">
        <f t="shared" si="7"/>
        <v>短期</v>
      </c>
    </row>
    <row r="199" spans="1:15">
      <c r="A199" s="2" t="s">
        <v>206</v>
      </c>
      <c r="B199">
        <v>5147612.81999999</v>
      </c>
      <c r="C199">
        <v>781659.689999999</v>
      </c>
      <c r="D199">
        <v>11319199.6899999</v>
      </c>
      <c r="E199">
        <v>1123108.22</v>
      </c>
      <c r="F199">
        <v>155988.267272727</v>
      </c>
      <c r="G199">
        <v>23686.6572727272</v>
      </c>
      <c r="H199">
        <v>30354.2762162162</v>
      </c>
      <c r="I199">
        <v>305924.315945945</v>
      </c>
      <c r="L199">
        <v>74.7710648947709</v>
      </c>
      <c r="M199">
        <v>67</v>
      </c>
      <c r="N199" t="str">
        <f t="shared" si="6"/>
        <v>C</v>
      </c>
      <c r="O199" t="str">
        <f t="shared" si="7"/>
        <v>短期</v>
      </c>
    </row>
    <row r="200" spans="1:15">
      <c r="A200" s="2" t="s">
        <v>207</v>
      </c>
      <c r="B200">
        <v>9064070.76000001</v>
      </c>
      <c r="C200">
        <v>1186520.29</v>
      </c>
      <c r="D200">
        <v>10070044.29</v>
      </c>
      <c r="E200">
        <v>1208040.93</v>
      </c>
      <c r="F200">
        <v>302135.692</v>
      </c>
      <c r="G200">
        <v>39550.6763333333</v>
      </c>
      <c r="H200">
        <v>41656.5837931035</v>
      </c>
      <c r="I200">
        <v>347242.906551724</v>
      </c>
      <c r="L200">
        <v>74.8425547994013</v>
      </c>
      <c r="M200">
        <v>67</v>
      </c>
      <c r="N200" t="str">
        <f t="shared" si="6"/>
        <v>C</v>
      </c>
      <c r="O200" t="str">
        <f t="shared" si="7"/>
        <v>短期</v>
      </c>
    </row>
    <row r="201" spans="1:15">
      <c r="A201" s="2" t="s">
        <v>208</v>
      </c>
      <c r="B201">
        <v>3996447.27</v>
      </c>
      <c r="C201">
        <v>319394.69</v>
      </c>
      <c r="D201">
        <v>5482348.52</v>
      </c>
      <c r="E201">
        <v>487062.35</v>
      </c>
      <c r="F201">
        <v>153709.510384615</v>
      </c>
      <c r="G201">
        <v>12284.4111538461</v>
      </c>
      <c r="H201">
        <v>30441.396875</v>
      </c>
      <c r="I201">
        <v>342646.7825</v>
      </c>
      <c r="L201">
        <v>74.7876209149605</v>
      </c>
      <c r="M201">
        <v>67</v>
      </c>
      <c r="N201" t="str">
        <f t="shared" si="6"/>
        <v>C</v>
      </c>
      <c r="O201" t="str">
        <f t="shared" si="7"/>
        <v>短期</v>
      </c>
    </row>
    <row r="202" spans="1:15">
      <c r="A202" s="2" t="s">
        <v>209</v>
      </c>
      <c r="B202">
        <v>79367372.2199999</v>
      </c>
      <c r="C202">
        <v>12559660.9299999</v>
      </c>
      <c r="D202">
        <v>13801263.3699999</v>
      </c>
      <c r="E202">
        <v>1162377.31</v>
      </c>
      <c r="F202">
        <v>2145064.11405405</v>
      </c>
      <c r="G202">
        <v>339450.295405405</v>
      </c>
      <c r="H202">
        <v>31415.602972973</v>
      </c>
      <c r="I202">
        <v>373007.118108108</v>
      </c>
      <c r="L202">
        <v>83.9245329763392</v>
      </c>
      <c r="M202">
        <v>66</v>
      </c>
      <c r="N202" t="str">
        <f t="shared" si="6"/>
        <v>B</v>
      </c>
      <c r="O202" t="str">
        <f t="shared" si="7"/>
        <v>中期</v>
      </c>
    </row>
    <row r="203" spans="1:15">
      <c r="A203" s="2" t="s">
        <v>210</v>
      </c>
      <c r="B203">
        <v>31237890.88</v>
      </c>
      <c r="C203">
        <v>4300366.57999999</v>
      </c>
      <c r="D203">
        <v>11491404.9599999</v>
      </c>
      <c r="E203">
        <v>1573880.08999998</v>
      </c>
      <c r="F203">
        <v>844267.321081081</v>
      </c>
      <c r="G203">
        <v>116226.123783783</v>
      </c>
      <c r="H203">
        <v>41417.8971052628</v>
      </c>
      <c r="I203">
        <v>302405.39368421</v>
      </c>
      <c r="L203">
        <v>83.0848836569129</v>
      </c>
      <c r="M203">
        <v>66</v>
      </c>
      <c r="N203" t="str">
        <f t="shared" si="6"/>
        <v>B</v>
      </c>
      <c r="O203" t="str">
        <f t="shared" si="7"/>
        <v>中期</v>
      </c>
    </row>
    <row r="204" spans="1:15">
      <c r="A204" s="2" t="s">
        <v>211</v>
      </c>
      <c r="B204">
        <v>8824077.06</v>
      </c>
      <c r="C204">
        <v>1384652.19</v>
      </c>
      <c r="D204">
        <v>11078618.6</v>
      </c>
      <c r="E204">
        <v>1734595.09</v>
      </c>
      <c r="F204">
        <v>267396.274545454</v>
      </c>
      <c r="G204">
        <v>41959.1572727272</v>
      </c>
      <c r="H204">
        <v>52563.4875757576</v>
      </c>
      <c r="I204">
        <v>335715.715151515</v>
      </c>
      <c r="L204">
        <v>74.7895416031679</v>
      </c>
      <c r="M204">
        <v>67</v>
      </c>
      <c r="N204" t="str">
        <f t="shared" si="6"/>
        <v>C</v>
      </c>
      <c r="O204" t="str">
        <f t="shared" si="7"/>
        <v>短期</v>
      </c>
    </row>
    <row r="205" spans="1:15">
      <c r="A205" s="3" t="s">
        <v>212</v>
      </c>
      <c r="B205">
        <v>10740900.5099999</v>
      </c>
      <c r="C205">
        <v>1620612.06</v>
      </c>
      <c r="D205">
        <v>17995408.7799999</v>
      </c>
      <c r="E205">
        <v>2898222.9</v>
      </c>
      <c r="F205">
        <v>358030.016999999</v>
      </c>
      <c r="G205">
        <v>54020.402</v>
      </c>
      <c r="H205">
        <v>80506.1916666667</v>
      </c>
      <c r="I205">
        <v>499872.466111111</v>
      </c>
      <c r="L205">
        <v>82.8988326213441</v>
      </c>
      <c r="M205">
        <v>66</v>
      </c>
      <c r="N205" t="str">
        <f t="shared" si="6"/>
        <v>B</v>
      </c>
      <c r="O205" t="str">
        <f t="shared" si="7"/>
        <v>中期</v>
      </c>
    </row>
    <row r="206" spans="1:15">
      <c r="A206" s="2" t="s">
        <v>213</v>
      </c>
      <c r="B206">
        <v>2291691.50999999</v>
      </c>
      <c r="C206">
        <v>309109.71</v>
      </c>
      <c r="D206">
        <v>8339064.06</v>
      </c>
      <c r="E206">
        <v>748739.52</v>
      </c>
      <c r="F206">
        <v>79023.8451724137</v>
      </c>
      <c r="G206">
        <v>10658.9555172413</v>
      </c>
      <c r="H206">
        <v>28797.6738461538</v>
      </c>
      <c r="I206">
        <v>320733.233076923</v>
      </c>
      <c r="L206">
        <v>74.7465808059891</v>
      </c>
      <c r="M206">
        <v>67</v>
      </c>
      <c r="N206" t="str">
        <f t="shared" si="6"/>
        <v>C</v>
      </c>
      <c r="O206" t="str">
        <f t="shared" si="7"/>
        <v>短期</v>
      </c>
    </row>
    <row r="207" spans="1:15">
      <c r="A207" s="2" t="s">
        <v>214</v>
      </c>
      <c r="B207">
        <v>1251.88999999999</v>
      </c>
      <c r="C207">
        <v>75.11</v>
      </c>
      <c r="D207">
        <v>11070606.1</v>
      </c>
      <c r="E207">
        <v>0</v>
      </c>
      <c r="F207">
        <v>312.972499999999</v>
      </c>
      <c r="G207">
        <v>18.7775</v>
      </c>
      <c r="H207">
        <v>0</v>
      </c>
      <c r="I207">
        <v>615033.672222222</v>
      </c>
      <c r="L207">
        <v>83.0714739524426</v>
      </c>
      <c r="M207">
        <v>66</v>
      </c>
      <c r="N207" t="str">
        <f t="shared" si="6"/>
        <v>B</v>
      </c>
      <c r="O207" t="str">
        <f t="shared" si="7"/>
        <v>中期</v>
      </c>
    </row>
    <row r="208" spans="1:15">
      <c r="A208" s="2" t="s">
        <v>215</v>
      </c>
      <c r="B208">
        <v>2696224.73</v>
      </c>
      <c r="C208">
        <v>175096.61</v>
      </c>
      <c r="D208">
        <v>8297018.32999991</v>
      </c>
      <c r="E208">
        <v>248915.409999996</v>
      </c>
      <c r="F208">
        <v>79300.7273529413</v>
      </c>
      <c r="G208">
        <v>5149.90029411765</v>
      </c>
      <c r="H208">
        <v>6550.4055263157</v>
      </c>
      <c r="I208">
        <v>218342.587631576</v>
      </c>
      <c r="L208">
        <v>74.7146332929914</v>
      </c>
      <c r="M208">
        <v>67</v>
      </c>
      <c r="N208" t="str">
        <f t="shared" si="6"/>
        <v>C</v>
      </c>
      <c r="O208" t="str">
        <f t="shared" si="7"/>
        <v>短期</v>
      </c>
    </row>
    <row r="209" spans="1:15">
      <c r="A209" s="2" t="s">
        <v>216</v>
      </c>
      <c r="B209">
        <v>1197830.9</v>
      </c>
      <c r="C209">
        <v>74261.32</v>
      </c>
      <c r="D209">
        <v>6039945.03</v>
      </c>
      <c r="E209">
        <v>362396.72</v>
      </c>
      <c r="F209">
        <v>37432.215625</v>
      </c>
      <c r="G209">
        <v>2320.66625</v>
      </c>
      <c r="H209">
        <v>15099.8633333333</v>
      </c>
      <c r="I209">
        <v>251664.37625</v>
      </c>
      <c r="L209">
        <v>74.7009769313063</v>
      </c>
      <c r="M209">
        <v>67</v>
      </c>
      <c r="N209" t="str">
        <f t="shared" si="6"/>
        <v>C</v>
      </c>
      <c r="O209" t="str">
        <f t="shared" si="7"/>
        <v>短期</v>
      </c>
    </row>
    <row r="210" spans="1:15">
      <c r="A210" s="2" t="s">
        <v>217</v>
      </c>
      <c r="B210">
        <v>16194935.73</v>
      </c>
      <c r="C210">
        <v>2239421.7</v>
      </c>
      <c r="D210">
        <v>30588960.1799999</v>
      </c>
      <c r="E210">
        <v>5059304.02999999</v>
      </c>
      <c r="F210">
        <v>437700.965675675</v>
      </c>
      <c r="G210">
        <v>60524.9108108108</v>
      </c>
      <c r="H210">
        <v>194588.616538461</v>
      </c>
      <c r="I210">
        <v>1176498.46846153</v>
      </c>
      <c r="L210">
        <v>73.1960562059306</v>
      </c>
      <c r="M210">
        <v>67</v>
      </c>
      <c r="N210" t="str">
        <f t="shared" si="6"/>
        <v>C</v>
      </c>
      <c r="O210" t="str">
        <f t="shared" si="7"/>
        <v>短期</v>
      </c>
    </row>
    <row r="211" spans="1:15">
      <c r="A211" s="2" t="s">
        <v>218</v>
      </c>
      <c r="B211">
        <v>1313617.22999999</v>
      </c>
      <c r="C211">
        <v>112463.37</v>
      </c>
      <c r="D211">
        <v>7120404.59999999</v>
      </c>
      <c r="E211">
        <v>213612.05</v>
      </c>
      <c r="F211">
        <v>42374.7493548386</v>
      </c>
      <c r="G211">
        <v>3627.85064516129</v>
      </c>
      <c r="H211">
        <v>7365.93275862068</v>
      </c>
      <c r="I211">
        <v>245531.193103448</v>
      </c>
      <c r="L211">
        <v>74.7233939151997</v>
      </c>
      <c r="M211">
        <v>67</v>
      </c>
      <c r="N211" t="str">
        <f t="shared" si="6"/>
        <v>C</v>
      </c>
      <c r="O211" t="str">
        <f t="shared" si="7"/>
        <v>短期</v>
      </c>
    </row>
    <row r="212" spans="1:15">
      <c r="A212" s="2" t="s">
        <v>219</v>
      </c>
      <c r="B212">
        <v>5450873.57</v>
      </c>
      <c r="C212">
        <v>848844.459999999</v>
      </c>
      <c r="D212">
        <v>7529936.96999999</v>
      </c>
      <c r="E212">
        <v>1180837</v>
      </c>
      <c r="F212">
        <v>175834.631290322</v>
      </c>
      <c r="G212">
        <v>27382.0793548387</v>
      </c>
      <c r="H212">
        <v>40718.5172413793</v>
      </c>
      <c r="I212">
        <v>259652.998965517</v>
      </c>
      <c r="L212">
        <v>74.7067127563723</v>
      </c>
      <c r="M212">
        <v>67</v>
      </c>
      <c r="N212" t="str">
        <f t="shared" si="6"/>
        <v>C</v>
      </c>
      <c r="O212" t="str">
        <f t="shared" si="7"/>
        <v>短期</v>
      </c>
    </row>
    <row r="213" spans="1:15">
      <c r="A213" s="2" t="s">
        <v>220</v>
      </c>
      <c r="B213">
        <v>3245504.41</v>
      </c>
      <c r="C213">
        <v>354950.599999999</v>
      </c>
      <c r="D213">
        <v>5453445.84</v>
      </c>
      <c r="E213">
        <v>564152.349999999</v>
      </c>
      <c r="F213">
        <v>170816.021578947</v>
      </c>
      <c r="G213">
        <v>18681.6105263157</v>
      </c>
      <c r="H213">
        <v>29692.2289473684</v>
      </c>
      <c r="I213">
        <v>287023.465263158</v>
      </c>
      <c r="L213">
        <v>74.753073331842</v>
      </c>
      <c r="M213">
        <v>67</v>
      </c>
      <c r="N213" t="str">
        <f t="shared" si="6"/>
        <v>C</v>
      </c>
      <c r="O213" t="str">
        <f t="shared" si="7"/>
        <v>短期</v>
      </c>
    </row>
    <row r="214" spans="1:15">
      <c r="A214" s="2" t="s">
        <v>221</v>
      </c>
      <c r="B214">
        <v>262083.75</v>
      </c>
      <c r="C214">
        <v>54.25</v>
      </c>
      <c r="D214">
        <v>2876876.5</v>
      </c>
      <c r="E214">
        <v>2360.61</v>
      </c>
      <c r="F214">
        <v>52416.75</v>
      </c>
      <c r="G214">
        <v>10.85</v>
      </c>
      <c r="H214">
        <v>214.600909090909</v>
      </c>
      <c r="I214">
        <v>261534.227272727</v>
      </c>
      <c r="L214">
        <v>74.7589845635026</v>
      </c>
      <c r="M214">
        <v>67</v>
      </c>
      <c r="N214" t="str">
        <f t="shared" si="6"/>
        <v>C</v>
      </c>
      <c r="O214" t="str">
        <f t="shared" si="7"/>
        <v>短期</v>
      </c>
    </row>
    <row r="215" spans="1:15">
      <c r="A215" s="3" t="s">
        <v>222</v>
      </c>
      <c r="B215">
        <v>293179.11</v>
      </c>
      <c r="C215">
        <v>24989.6699999999</v>
      </c>
      <c r="D215">
        <v>11315825.1499999</v>
      </c>
      <c r="E215">
        <v>1351743.76999999</v>
      </c>
      <c r="F215">
        <v>12215.79625</v>
      </c>
      <c r="G215">
        <v>1041.23624999999</v>
      </c>
      <c r="H215">
        <v>37548.4380555555</v>
      </c>
      <c r="I215">
        <v>314328.476388888</v>
      </c>
      <c r="L215">
        <v>74.6777420206463</v>
      </c>
      <c r="M215">
        <v>67</v>
      </c>
      <c r="N215" t="str">
        <f t="shared" si="6"/>
        <v>C</v>
      </c>
      <c r="O215" t="str">
        <f t="shared" si="7"/>
        <v>短期</v>
      </c>
    </row>
    <row r="216" spans="1:15">
      <c r="A216" s="2" t="s">
        <v>223</v>
      </c>
      <c r="B216">
        <v>570761.979999999</v>
      </c>
      <c r="C216">
        <v>31986.6299999999</v>
      </c>
      <c r="D216">
        <v>7358057.10999998</v>
      </c>
      <c r="E216">
        <v>320199.47</v>
      </c>
      <c r="F216">
        <v>18411.6767741935</v>
      </c>
      <c r="G216">
        <v>1031.82677419354</v>
      </c>
      <c r="H216">
        <v>10673.3156666666</v>
      </c>
      <c r="I216">
        <v>245268.570333332</v>
      </c>
      <c r="L216">
        <v>74.7012827643659</v>
      </c>
      <c r="M216">
        <v>67</v>
      </c>
      <c r="N216" t="str">
        <f t="shared" si="6"/>
        <v>C</v>
      </c>
      <c r="O216" t="str">
        <f t="shared" si="7"/>
        <v>短期</v>
      </c>
    </row>
    <row r="217" spans="1:15">
      <c r="A217" s="2" t="s">
        <v>224</v>
      </c>
      <c r="B217">
        <v>2892673.65</v>
      </c>
      <c r="C217">
        <v>440105.95</v>
      </c>
      <c r="D217">
        <v>3899767.09</v>
      </c>
      <c r="E217">
        <v>592764.829999999</v>
      </c>
      <c r="F217">
        <v>125768.419565217</v>
      </c>
      <c r="G217">
        <v>19135.0413043478</v>
      </c>
      <c r="H217">
        <v>29638.2414999999</v>
      </c>
      <c r="I217">
        <v>194988.3545</v>
      </c>
      <c r="L217">
        <v>74.6543097131433</v>
      </c>
      <c r="M217">
        <v>67</v>
      </c>
      <c r="N217" t="str">
        <f t="shared" si="6"/>
        <v>C</v>
      </c>
      <c r="O217" t="str">
        <f t="shared" si="7"/>
        <v>短期</v>
      </c>
    </row>
    <row r="218" spans="1:15">
      <c r="A218" s="2" t="s">
        <v>225</v>
      </c>
      <c r="B218">
        <v>29649.7199999999</v>
      </c>
      <c r="C218">
        <v>2520.27999999999</v>
      </c>
      <c r="D218">
        <v>6827724.23</v>
      </c>
      <c r="E218">
        <v>204831.669999999</v>
      </c>
      <c r="F218">
        <v>3706.21499999999</v>
      </c>
      <c r="G218">
        <v>315.034999999999</v>
      </c>
      <c r="H218">
        <v>6207.02030303029</v>
      </c>
      <c r="I218">
        <v>206900.734242424</v>
      </c>
      <c r="L218">
        <v>74.674250908846</v>
      </c>
      <c r="M218">
        <v>67</v>
      </c>
      <c r="N218" t="str">
        <f t="shared" si="6"/>
        <v>C</v>
      </c>
      <c r="O218" t="str">
        <f t="shared" si="7"/>
        <v>短期</v>
      </c>
    </row>
    <row r="219" spans="1:15">
      <c r="A219" s="2" t="s">
        <v>226</v>
      </c>
      <c r="B219">
        <v>1434811.7</v>
      </c>
      <c r="C219">
        <v>210257.54</v>
      </c>
      <c r="D219">
        <v>3378699.3</v>
      </c>
      <c r="E219">
        <v>507960.699999999</v>
      </c>
      <c r="F219">
        <v>95654.1133333333</v>
      </c>
      <c r="G219">
        <v>14017.1693333333</v>
      </c>
      <c r="H219">
        <v>33864.0466666666</v>
      </c>
      <c r="I219">
        <v>225246.62</v>
      </c>
      <c r="L219">
        <v>74.652002334732</v>
      </c>
      <c r="M219">
        <v>67</v>
      </c>
      <c r="N219" t="str">
        <f t="shared" si="6"/>
        <v>C</v>
      </c>
      <c r="O219" t="str">
        <f t="shared" si="7"/>
        <v>短期</v>
      </c>
    </row>
    <row r="220" spans="1:15">
      <c r="A220" s="2" t="s">
        <v>227</v>
      </c>
      <c r="B220">
        <v>2240183.78999999</v>
      </c>
      <c r="C220">
        <v>330406.989999999</v>
      </c>
      <c r="D220">
        <v>4929621.64</v>
      </c>
      <c r="E220">
        <v>754328.82</v>
      </c>
      <c r="F220">
        <v>58952.2049999999</v>
      </c>
      <c r="G220">
        <v>8694.92078947368</v>
      </c>
      <c r="H220">
        <v>22186.1417647058</v>
      </c>
      <c r="I220">
        <v>144988.871764705</v>
      </c>
      <c r="L220">
        <v>74.5955112209868</v>
      </c>
      <c r="M220">
        <v>67</v>
      </c>
      <c r="N220" t="str">
        <f t="shared" si="6"/>
        <v>C</v>
      </c>
      <c r="O220" t="str">
        <f t="shared" si="7"/>
        <v>短期</v>
      </c>
    </row>
    <row r="221" spans="1:15">
      <c r="A221" s="2" t="s">
        <v>228</v>
      </c>
      <c r="B221">
        <v>792.449999999999</v>
      </c>
      <c r="C221">
        <v>47.55</v>
      </c>
      <c r="D221">
        <v>2551960.05</v>
      </c>
      <c r="E221">
        <v>76643.35</v>
      </c>
      <c r="F221">
        <v>264.15</v>
      </c>
      <c r="G221">
        <v>15.85</v>
      </c>
      <c r="H221">
        <v>2071.44189189189</v>
      </c>
      <c r="I221">
        <v>68971.8932432432</v>
      </c>
      <c r="L221">
        <v>74.5580085045498</v>
      </c>
      <c r="M221">
        <v>67</v>
      </c>
      <c r="N221" t="str">
        <f t="shared" si="6"/>
        <v>C</v>
      </c>
      <c r="O221" t="str">
        <f t="shared" si="7"/>
        <v>短期</v>
      </c>
    </row>
    <row r="222" spans="1:15">
      <c r="A222" s="2" t="s">
        <v>229</v>
      </c>
      <c r="B222">
        <v>1400067.95999999</v>
      </c>
      <c r="C222">
        <v>191869.93</v>
      </c>
      <c r="D222">
        <v>2301371.92</v>
      </c>
      <c r="E222">
        <v>357168.08</v>
      </c>
      <c r="F222">
        <v>45163.4825806451</v>
      </c>
      <c r="G222">
        <v>6189.35258064516</v>
      </c>
      <c r="H222">
        <v>9653.19135135135</v>
      </c>
      <c r="I222">
        <v>62199.241081081</v>
      </c>
      <c r="L222">
        <v>74.5506783879609</v>
      </c>
      <c r="M222">
        <v>67</v>
      </c>
      <c r="N222" t="str">
        <f t="shared" si="6"/>
        <v>C</v>
      </c>
      <c r="O222" t="str">
        <f t="shared" si="7"/>
        <v>短期</v>
      </c>
    </row>
    <row r="223" spans="1:15">
      <c r="A223" s="2" t="s">
        <v>230</v>
      </c>
      <c r="B223">
        <v>582446.759999999</v>
      </c>
      <c r="C223">
        <v>78381.38</v>
      </c>
      <c r="D223">
        <v>2248406.59</v>
      </c>
      <c r="E223">
        <v>265563.41</v>
      </c>
      <c r="F223">
        <v>17130.7870588235</v>
      </c>
      <c r="G223">
        <v>2305.33470588235</v>
      </c>
      <c r="H223">
        <v>9835.68185185185</v>
      </c>
      <c r="I223">
        <v>83274.3181481481</v>
      </c>
      <c r="L223">
        <v>74.5551893140805</v>
      </c>
      <c r="M223">
        <v>67</v>
      </c>
      <c r="N223" t="str">
        <f t="shared" si="6"/>
        <v>C</v>
      </c>
      <c r="O223" t="str">
        <f t="shared" si="7"/>
        <v>短期</v>
      </c>
    </row>
    <row r="224" spans="1:15">
      <c r="A224" s="3" t="s">
        <v>231</v>
      </c>
      <c r="B224">
        <v>2307017.62</v>
      </c>
      <c r="C224">
        <v>352976.299999999</v>
      </c>
      <c r="D224">
        <v>2408534.77999999</v>
      </c>
      <c r="E224">
        <v>377361.059999999</v>
      </c>
      <c r="F224">
        <v>64083.8227777777</v>
      </c>
      <c r="G224">
        <v>9804.89722222221</v>
      </c>
      <c r="H224">
        <v>10482.2516666666</v>
      </c>
      <c r="I224">
        <v>66903.7438888888</v>
      </c>
      <c r="L224">
        <v>74.5635889212204</v>
      </c>
      <c r="M224">
        <v>67</v>
      </c>
      <c r="N224" t="str">
        <f t="shared" si="6"/>
        <v>C</v>
      </c>
      <c r="O224" t="str">
        <f t="shared" si="7"/>
        <v>短期</v>
      </c>
    </row>
    <row r="225" spans="1:15">
      <c r="A225" s="2" t="s">
        <v>232</v>
      </c>
      <c r="B225">
        <v>974659.339999999</v>
      </c>
      <c r="C225">
        <v>148240.24</v>
      </c>
      <c r="D225">
        <v>2117098.19999999</v>
      </c>
      <c r="E225">
        <v>339576.019999999</v>
      </c>
      <c r="F225">
        <v>27073.8705555555</v>
      </c>
      <c r="G225">
        <v>4117.78444444444</v>
      </c>
      <c r="H225">
        <v>9432.66722222221</v>
      </c>
      <c r="I225">
        <v>58808.2833333333</v>
      </c>
      <c r="L225">
        <v>74.5395459212298</v>
      </c>
      <c r="M225">
        <v>67</v>
      </c>
      <c r="N225" t="str">
        <f t="shared" si="6"/>
        <v>C</v>
      </c>
      <c r="O225" t="str">
        <f t="shared" si="7"/>
        <v>短期</v>
      </c>
    </row>
    <row r="226" spans="1:15">
      <c r="A226" s="2" t="s">
        <v>233</v>
      </c>
      <c r="B226">
        <v>772629.589999999</v>
      </c>
      <c r="C226">
        <v>19685.82</v>
      </c>
      <c r="D226">
        <v>2260862.77999993</v>
      </c>
      <c r="E226">
        <v>67829.6399999991</v>
      </c>
      <c r="F226">
        <v>24144.6746874999</v>
      </c>
      <c r="G226">
        <v>615.181875</v>
      </c>
      <c r="H226">
        <v>1994.98941176468</v>
      </c>
      <c r="I226">
        <v>66495.9641176451</v>
      </c>
      <c r="L226">
        <v>74.5643444636517</v>
      </c>
      <c r="M226">
        <v>67</v>
      </c>
      <c r="N226" t="str">
        <f t="shared" si="6"/>
        <v>C</v>
      </c>
      <c r="O226" t="str">
        <f t="shared" si="7"/>
        <v>短期</v>
      </c>
    </row>
    <row r="227" spans="1:15">
      <c r="A227" s="2" t="s">
        <v>234</v>
      </c>
      <c r="B227">
        <v>6878.61</v>
      </c>
      <c r="C227">
        <v>567.439999999999</v>
      </c>
      <c r="D227">
        <v>3329073.80999999</v>
      </c>
      <c r="E227">
        <v>99872.19</v>
      </c>
      <c r="F227">
        <v>1146.435</v>
      </c>
      <c r="G227">
        <v>94.5733333333333</v>
      </c>
      <c r="H227">
        <v>16645.365</v>
      </c>
      <c r="I227">
        <v>554845.634999999</v>
      </c>
      <c r="L227">
        <v>74.9626812758949</v>
      </c>
      <c r="M227">
        <v>67</v>
      </c>
      <c r="N227" t="str">
        <f t="shared" si="6"/>
        <v>C</v>
      </c>
      <c r="O227" t="str">
        <f t="shared" si="7"/>
        <v>短期</v>
      </c>
    </row>
    <row r="228" spans="1:15">
      <c r="A228" s="2" t="s">
        <v>235</v>
      </c>
      <c r="B228">
        <v>406815.569999999</v>
      </c>
      <c r="C228">
        <v>35895.6999999999</v>
      </c>
      <c r="D228">
        <v>1472460.74999999</v>
      </c>
      <c r="E228">
        <v>44184.25</v>
      </c>
      <c r="F228">
        <v>13123.0829032257</v>
      </c>
      <c r="G228">
        <v>1157.92580645161</v>
      </c>
      <c r="H228">
        <v>1699.39423076923</v>
      </c>
      <c r="I228">
        <v>56633.1057692307</v>
      </c>
      <c r="L228">
        <v>74.5534548441186</v>
      </c>
      <c r="M228">
        <v>67</v>
      </c>
      <c r="N228" t="str">
        <f t="shared" si="6"/>
        <v>C</v>
      </c>
      <c r="O228" t="str">
        <f t="shared" si="7"/>
        <v>短期</v>
      </c>
    </row>
    <row r="229" spans="1:15">
      <c r="A229" s="2" t="s">
        <v>236</v>
      </c>
      <c r="B229">
        <v>297904.48</v>
      </c>
      <c r="C229">
        <v>10431.5699999999</v>
      </c>
      <c r="D229">
        <v>1057514.98</v>
      </c>
      <c r="E229">
        <v>31725.3199999999</v>
      </c>
      <c r="F229">
        <v>12412.6866666666</v>
      </c>
      <c r="G229">
        <v>434.648749999999</v>
      </c>
      <c r="H229">
        <v>1442.05999999999</v>
      </c>
      <c r="I229">
        <v>48068.8627272727</v>
      </c>
      <c r="L229">
        <v>74.5450647042189</v>
      </c>
      <c r="M229">
        <v>67</v>
      </c>
      <c r="N229" t="str">
        <f t="shared" si="6"/>
        <v>C</v>
      </c>
      <c r="O229" t="str">
        <f t="shared" si="7"/>
        <v>短期</v>
      </c>
    </row>
    <row r="230" spans="1:15">
      <c r="A230" s="2" t="s">
        <v>237</v>
      </c>
      <c r="B230">
        <v>13736577.61</v>
      </c>
      <c r="C230">
        <v>999584.109999999</v>
      </c>
      <c r="D230">
        <v>2649962.14999999</v>
      </c>
      <c r="E230">
        <v>79498.85</v>
      </c>
      <c r="F230">
        <v>381571.600277779</v>
      </c>
      <c r="G230">
        <v>27766.2252777777</v>
      </c>
      <c r="H230">
        <v>3312.45208333333</v>
      </c>
      <c r="I230">
        <v>110415.089583333</v>
      </c>
      <c r="L230">
        <v>74.7530690159914</v>
      </c>
      <c r="M230">
        <v>67</v>
      </c>
      <c r="N230" t="str">
        <f t="shared" si="6"/>
        <v>C</v>
      </c>
      <c r="O230" t="str">
        <f t="shared" si="7"/>
        <v>短期</v>
      </c>
    </row>
    <row r="231" spans="1:15">
      <c r="A231" s="2" t="s">
        <v>238</v>
      </c>
      <c r="B231">
        <v>318399.44</v>
      </c>
      <c r="C231">
        <v>15045.3399999999</v>
      </c>
      <c r="D231">
        <v>2734142.36</v>
      </c>
      <c r="E231">
        <v>82024.28</v>
      </c>
      <c r="F231">
        <v>10270.9496774193</v>
      </c>
      <c r="G231">
        <v>485.333548387096</v>
      </c>
      <c r="H231">
        <v>4101.214</v>
      </c>
      <c r="I231">
        <v>136707.118</v>
      </c>
      <c r="L231">
        <v>74.6181800998193</v>
      </c>
      <c r="M231">
        <v>67</v>
      </c>
      <c r="N231" t="str">
        <f t="shared" si="6"/>
        <v>C</v>
      </c>
      <c r="O231" t="str">
        <f t="shared" si="7"/>
        <v>短期</v>
      </c>
    </row>
    <row r="232" spans="1:15">
      <c r="A232" s="2" t="s">
        <v>239</v>
      </c>
      <c r="B232">
        <v>590037.09</v>
      </c>
      <c r="C232">
        <v>73642.91</v>
      </c>
      <c r="D232">
        <v>2217049.23</v>
      </c>
      <c r="E232">
        <v>66511.17</v>
      </c>
      <c r="F232">
        <v>28097.0042857142</v>
      </c>
      <c r="G232">
        <v>3506.80523809524</v>
      </c>
      <c r="H232">
        <v>2145.52161290322</v>
      </c>
      <c r="I232">
        <v>71517.7170967742</v>
      </c>
      <c r="L232">
        <v>74.5739483206896</v>
      </c>
      <c r="M232">
        <v>67</v>
      </c>
      <c r="N232" t="str">
        <f t="shared" si="6"/>
        <v>C</v>
      </c>
      <c r="O232" t="str">
        <f t="shared" si="7"/>
        <v>短期</v>
      </c>
    </row>
    <row r="233" spans="1:15">
      <c r="A233" s="2" t="s">
        <v>240</v>
      </c>
      <c r="B233">
        <v>505290.2</v>
      </c>
      <c r="C233">
        <v>25269.8</v>
      </c>
      <c r="D233">
        <v>1194335.28</v>
      </c>
      <c r="E233">
        <v>35850.5299999999</v>
      </c>
      <c r="F233">
        <v>252645.1</v>
      </c>
      <c r="G233">
        <v>12634.9</v>
      </c>
      <c r="H233">
        <v>1378.86653846153</v>
      </c>
      <c r="I233">
        <v>45935.9723076923</v>
      </c>
      <c r="L233">
        <v>74.6366865327863</v>
      </c>
      <c r="M233">
        <v>67</v>
      </c>
      <c r="N233" t="str">
        <f t="shared" si="6"/>
        <v>C</v>
      </c>
      <c r="O233" t="str">
        <f t="shared" si="7"/>
        <v>短期</v>
      </c>
    </row>
    <row r="234" spans="1:15">
      <c r="A234" s="2" t="s">
        <v>241</v>
      </c>
      <c r="B234">
        <v>16128.3</v>
      </c>
      <c r="C234">
        <v>31.7</v>
      </c>
      <c r="D234">
        <v>1507883.02</v>
      </c>
      <c r="E234">
        <v>45648.94</v>
      </c>
      <c r="F234">
        <v>5376.09999999999</v>
      </c>
      <c r="G234">
        <v>10.5666666666666</v>
      </c>
      <c r="H234">
        <v>1690.70148148148</v>
      </c>
      <c r="I234">
        <v>55847.5192592592</v>
      </c>
      <c r="L234">
        <v>74.5486556378857</v>
      </c>
      <c r="M234">
        <v>67</v>
      </c>
      <c r="N234" t="str">
        <f t="shared" si="6"/>
        <v>C</v>
      </c>
      <c r="O234" t="str">
        <f t="shared" si="7"/>
        <v>短期</v>
      </c>
    </row>
    <row r="235" spans="1:15">
      <c r="A235" s="2" t="s">
        <v>242</v>
      </c>
      <c r="B235">
        <v>62418.02</v>
      </c>
      <c r="C235">
        <v>4097.17999999999</v>
      </c>
      <c r="D235">
        <v>1330097.03999999</v>
      </c>
      <c r="E235">
        <v>39902.6999999999</v>
      </c>
      <c r="F235">
        <v>7802.2525</v>
      </c>
      <c r="G235">
        <v>512.147499999999</v>
      </c>
      <c r="H235">
        <v>1662.61249999999</v>
      </c>
      <c r="I235">
        <v>55420.7099999999</v>
      </c>
      <c r="L235">
        <v>74.5498385847067</v>
      </c>
      <c r="M235">
        <v>67</v>
      </c>
      <c r="N235" t="str">
        <f t="shared" si="6"/>
        <v>C</v>
      </c>
      <c r="O235" t="str">
        <f t="shared" si="7"/>
        <v>短期</v>
      </c>
    </row>
    <row r="236" spans="1:15">
      <c r="A236" s="2" t="s">
        <v>243</v>
      </c>
      <c r="B236">
        <v>528.3</v>
      </c>
      <c r="C236">
        <v>31.7</v>
      </c>
      <c r="D236">
        <v>1604256.98</v>
      </c>
      <c r="E236">
        <v>48127.6899999999</v>
      </c>
      <c r="F236">
        <v>264.15</v>
      </c>
      <c r="G236">
        <v>15.85</v>
      </c>
      <c r="H236">
        <v>1851.06499999999</v>
      </c>
      <c r="I236">
        <v>61702.1915384615</v>
      </c>
      <c r="L236">
        <v>74.551970639722</v>
      </c>
      <c r="M236">
        <v>67</v>
      </c>
      <c r="N236" t="str">
        <f t="shared" si="6"/>
        <v>C</v>
      </c>
      <c r="O236" t="str">
        <f t="shared" si="7"/>
        <v>短期</v>
      </c>
    </row>
    <row r="237" spans="1:15">
      <c r="A237" s="2" t="s">
        <v>244</v>
      </c>
      <c r="B237">
        <v>528.3</v>
      </c>
      <c r="C237">
        <v>31.7</v>
      </c>
      <c r="D237">
        <v>1190765.02</v>
      </c>
      <c r="E237">
        <v>35722.9999999999</v>
      </c>
      <c r="F237">
        <v>264.15</v>
      </c>
      <c r="G237">
        <v>15.85</v>
      </c>
      <c r="H237">
        <v>1488.45833333333</v>
      </c>
      <c r="I237">
        <v>49615.2091666666</v>
      </c>
      <c r="L237">
        <v>74.5419199239733</v>
      </c>
      <c r="M237">
        <v>67</v>
      </c>
      <c r="N237" t="str">
        <f t="shared" si="6"/>
        <v>C</v>
      </c>
      <c r="O237" t="str">
        <f t="shared" si="7"/>
        <v>短期</v>
      </c>
    </row>
    <row r="238" spans="1:15">
      <c r="A238" s="2" t="s">
        <v>245</v>
      </c>
      <c r="B238">
        <v>792.449999999999</v>
      </c>
      <c r="C238">
        <v>47.55</v>
      </c>
      <c r="D238">
        <v>2610374.91999999</v>
      </c>
      <c r="E238">
        <v>78311.1899999999</v>
      </c>
      <c r="F238">
        <v>396.224999999999</v>
      </c>
      <c r="G238">
        <v>23.775</v>
      </c>
      <c r="H238">
        <v>15662.2379999999</v>
      </c>
      <c r="I238">
        <v>522074.983999999</v>
      </c>
      <c r="L238">
        <v>74.935059707613</v>
      </c>
      <c r="M238">
        <v>67</v>
      </c>
      <c r="N238" t="str">
        <f t="shared" si="6"/>
        <v>C</v>
      </c>
      <c r="O238" t="str">
        <f t="shared" si="7"/>
        <v>短期</v>
      </c>
    </row>
    <row r="239" spans="1:15">
      <c r="A239" s="2" t="s">
        <v>246</v>
      </c>
      <c r="B239">
        <v>3248944.6</v>
      </c>
      <c r="C239">
        <v>88683.0000000001</v>
      </c>
      <c r="D239">
        <v>4901439.63</v>
      </c>
      <c r="E239">
        <v>280898.169999999</v>
      </c>
      <c r="F239">
        <v>162447.23</v>
      </c>
      <c r="G239">
        <v>4434.15</v>
      </c>
      <c r="H239">
        <v>12212.9639130434</v>
      </c>
      <c r="I239">
        <v>213106.070869565</v>
      </c>
      <c r="L239">
        <v>79.7169455154656</v>
      </c>
      <c r="M239">
        <v>66</v>
      </c>
      <c r="N239" t="str">
        <f t="shared" si="6"/>
        <v>B</v>
      </c>
      <c r="O239" t="str">
        <f t="shared" si="7"/>
        <v>中期</v>
      </c>
    </row>
    <row r="240" spans="1:15">
      <c r="A240" s="2" t="s">
        <v>247</v>
      </c>
      <c r="B240">
        <v>411876.139999999</v>
      </c>
      <c r="C240">
        <v>42222.6599999999</v>
      </c>
      <c r="D240">
        <v>4207637.88</v>
      </c>
      <c r="E240">
        <v>126229.12</v>
      </c>
      <c r="F240">
        <v>12871.1293749999</v>
      </c>
      <c r="G240">
        <v>1319.45812499999</v>
      </c>
      <c r="H240">
        <v>7425.24235294117</v>
      </c>
      <c r="I240">
        <v>247508.110588235</v>
      </c>
      <c r="L240">
        <v>74.7123801134235</v>
      </c>
      <c r="M240">
        <v>67</v>
      </c>
      <c r="N240" t="str">
        <f t="shared" si="6"/>
        <v>C</v>
      </c>
      <c r="O240" t="str">
        <f t="shared" si="7"/>
        <v>短期</v>
      </c>
    </row>
    <row r="241" spans="1:15">
      <c r="A241" s="2" t="s">
        <v>248</v>
      </c>
      <c r="B241">
        <v>201489.97</v>
      </c>
      <c r="C241">
        <v>7975.46999999999</v>
      </c>
      <c r="D241">
        <v>1072700.23</v>
      </c>
      <c r="E241">
        <v>32231.89</v>
      </c>
      <c r="F241">
        <v>8059.5988</v>
      </c>
      <c r="G241">
        <v>319.018799999999</v>
      </c>
      <c r="H241">
        <v>2685.99083333333</v>
      </c>
      <c r="I241">
        <v>89391.6858333333</v>
      </c>
      <c r="L241">
        <v>74.5778771871061</v>
      </c>
      <c r="M241">
        <v>67</v>
      </c>
      <c r="N241" t="str">
        <f t="shared" si="6"/>
        <v>C</v>
      </c>
      <c r="O241" t="str">
        <f t="shared" si="7"/>
        <v>短期</v>
      </c>
    </row>
    <row r="242" spans="1:15">
      <c r="A242" s="2" t="s">
        <v>249</v>
      </c>
      <c r="B242">
        <v>433344.43</v>
      </c>
      <c r="C242">
        <v>40749.52</v>
      </c>
      <c r="D242">
        <v>2029007.68</v>
      </c>
      <c r="E242">
        <v>320710.089999999</v>
      </c>
      <c r="F242">
        <v>11403.8007894736</v>
      </c>
      <c r="G242">
        <v>1072.35578947368</v>
      </c>
      <c r="H242">
        <v>9718.48757575757</v>
      </c>
      <c r="I242">
        <v>61485.0812121212</v>
      </c>
      <c r="L242">
        <v>74.5317819275784</v>
      </c>
      <c r="M242">
        <v>67</v>
      </c>
      <c r="N242" t="str">
        <f t="shared" si="6"/>
        <v>C</v>
      </c>
      <c r="O242" t="str">
        <f t="shared" si="7"/>
        <v>短期</v>
      </c>
    </row>
    <row r="243" spans="1:15">
      <c r="A243" s="2" t="s">
        <v>250</v>
      </c>
      <c r="B243">
        <v>1847659.22</v>
      </c>
      <c r="C243">
        <v>225819.609999999</v>
      </c>
      <c r="D243">
        <v>3453091.74</v>
      </c>
      <c r="E243">
        <v>344047.29</v>
      </c>
      <c r="F243">
        <v>61588.6406666666</v>
      </c>
      <c r="G243">
        <v>7527.32033333333</v>
      </c>
      <c r="H243">
        <v>14335.30375</v>
      </c>
      <c r="I243">
        <v>143878.8225</v>
      </c>
      <c r="L243">
        <v>74.6186134728699</v>
      </c>
      <c r="M243">
        <v>67</v>
      </c>
      <c r="N243" t="str">
        <f t="shared" si="6"/>
        <v>C</v>
      </c>
      <c r="O243" t="str">
        <f t="shared" si="7"/>
        <v>短期</v>
      </c>
    </row>
    <row r="244" spans="1:15">
      <c r="A244" s="2" t="s">
        <v>251</v>
      </c>
      <c r="B244">
        <v>361648.44</v>
      </c>
      <c r="C244">
        <v>18412.87</v>
      </c>
      <c r="D244">
        <v>1430221</v>
      </c>
      <c r="E244">
        <v>71511</v>
      </c>
      <c r="F244">
        <v>32877.1309090909</v>
      </c>
      <c r="G244">
        <v>1673.89727272727</v>
      </c>
      <c r="H244">
        <v>4767.4</v>
      </c>
      <c r="I244">
        <v>95348.0666666666</v>
      </c>
      <c r="L244">
        <v>74.5865546977366</v>
      </c>
      <c r="M244">
        <v>67</v>
      </c>
      <c r="N244" t="str">
        <f t="shared" si="6"/>
        <v>C</v>
      </c>
      <c r="O244" t="str">
        <f t="shared" si="7"/>
        <v>短期</v>
      </c>
    </row>
    <row r="245" spans="1:15">
      <c r="A245" s="2" t="s">
        <v>252</v>
      </c>
      <c r="B245">
        <v>228432.409999999</v>
      </c>
      <c r="C245">
        <v>11425.24</v>
      </c>
      <c r="D245">
        <v>1996948.94</v>
      </c>
      <c r="E245">
        <v>73051.0600000001</v>
      </c>
      <c r="F245">
        <v>19036.0341666666</v>
      </c>
      <c r="G245">
        <v>952.103333333333</v>
      </c>
      <c r="H245">
        <v>3478.62190476191</v>
      </c>
      <c r="I245">
        <v>95092.8066666668</v>
      </c>
      <c r="L245">
        <v>74.5850143708836</v>
      </c>
      <c r="M245">
        <v>67</v>
      </c>
      <c r="N245" t="str">
        <f t="shared" si="6"/>
        <v>C</v>
      </c>
      <c r="O245" t="str">
        <f t="shared" si="7"/>
        <v>短期</v>
      </c>
    </row>
    <row r="246" spans="1:15">
      <c r="A246" s="2" t="s">
        <v>253</v>
      </c>
      <c r="B246">
        <v>303201.97</v>
      </c>
      <c r="C246">
        <v>24932.19</v>
      </c>
      <c r="D246">
        <v>818690.09</v>
      </c>
      <c r="E246">
        <v>77248.91</v>
      </c>
      <c r="F246">
        <v>15957.9984210526</v>
      </c>
      <c r="G246">
        <v>1312.22052631578</v>
      </c>
      <c r="H246">
        <v>4828.056875</v>
      </c>
      <c r="I246">
        <v>51168.130625</v>
      </c>
      <c r="L246">
        <v>74.5395530106253</v>
      </c>
      <c r="M246">
        <v>67</v>
      </c>
      <c r="N246" t="str">
        <f t="shared" si="6"/>
        <v>C</v>
      </c>
      <c r="O246" t="str">
        <f t="shared" si="7"/>
        <v>短期</v>
      </c>
    </row>
    <row r="247" spans="1:15">
      <c r="A247" s="2" t="s">
        <v>254</v>
      </c>
      <c r="B247">
        <v>637106.369999999</v>
      </c>
      <c r="C247">
        <v>102287.81</v>
      </c>
      <c r="D247">
        <v>1416940.03</v>
      </c>
      <c r="E247">
        <v>225279.87</v>
      </c>
      <c r="F247">
        <v>17697.3991666666</v>
      </c>
      <c r="G247">
        <v>2841.32805555555</v>
      </c>
      <c r="H247">
        <v>7039.9959375</v>
      </c>
      <c r="I247">
        <v>44279.3759375</v>
      </c>
      <c r="L247">
        <v>74.528892063629</v>
      </c>
      <c r="M247">
        <v>67</v>
      </c>
      <c r="N247" t="str">
        <f t="shared" si="6"/>
        <v>C</v>
      </c>
      <c r="O247" t="str">
        <f t="shared" si="7"/>
        <v>短期</v>
      </c>
    </row>
    <row r="248" spans="1:15">
      <c r="A248" s="2" t="s">
        <v>255</v>
      </c>
      <c r="B248">
        <v>800.14</v>
      </c>
      <c r="C248">
        <v>39.86</v>
      </c>
      <c r="D248">
        <v>2021150.33</v>
      </c>
      <c r="E248">
        <v>60608.7199999999</v>
      </c>
      <c r="F248">
        <v>200.035</v>
      </c>
      <c r="G248">
        <v>9.965</v>
      </c>
      <c r="H248">
        <v>2164.59714285714</v>
      </c>
      <c r="I248">
        <v>72183.9403571429</v>
      </c>
      <c r="L248">
        <v>74.5606610225945</v>
      </c>
      <c r="M248">
        <v>67</v>
      </c>
      <c r="N248" t="str">
        <f t="shared" si="6"/>
        <v>C</v>
      </c>
      <c r="O248" t="str">
        <f t="shared" si="7"/>
        <v>短期</v>
      </c>
    </row>
    <row r="249" spans="1:15">
      <c r="A249" s="2" t="s">
        <v>256</v>
      </c>
      <c r="B249">
        <v>186151.179999999</v>
      </c>
      <c r="C249">
        <v>18716.3599999999</v>
      </c>
      <c r="D249">
        <v>1237223.2</v>
      </c>
      <c r="E249">
        <v>108693.249999999</v>
      </c>
      <c r="F249">
        <v>11634.4487499999</v>
      </c>
      <c r="G249">
        <v>1169.77249999999</v>
      </c>
      <c r="H249">
        <v>6038.51388888888</v>
      </c>
      <c r="I249">
        <v>68734.6222222222</v>
      </c>
      <c r="L249">
        <v>74.550418255365</v>
      </c>
      <c r="M249">
        <v>67</v>
      </c>
      <c r="N249" t="str">
        <f t="shared" si="6"/>
        <v>C</v>
      </c>
      <c r="O249" t="str">
        <f t="shared" si="7"/>
        <v>短期</v>
      </c>
    </row>
    <row r="250" spans="1:15">
      <c r="A250" s="2" t="s">
        <v>257</v>
      </c>
      <c r="B250">
        <v>548783.329999999</v>
      </c>
      <c r="C250">
        <v>78540.3699999996</v>
      </c>
      <c r="D250">
        <v>2065282.13</v>
      </c>
      <c r="E250">
        <v>148892.9</v>
      </c>
      <c r="F250">
        <v>15243.9813888888</v>
      </c>
      <c r="G250">
        <v>2181.67694444443</v>
      </c>
      <c r="H250">
        <v>4024.13243243243</v>
      </c>
      <c r="I250">
        <v>55818.4359459459</v>
      </c>
      <c r="L250">
        <v>74.5474529093441</v>
      </c>
      <c r="M250">
        <v>67</v>
      </c>
      <c r="N250" t="str">
        <f t="shared" si="6"/>
        <v>C</v>
      </c>
      <c r="O250" t="str">
        <f t="shared" si="7"/>
        <v>短期</v>
      </c>
    </row>
    <row r="251" spans="1:15">
      <c r="A251" s="3" t="s">
        <v>258</v>
      </c>
      <c r="B251">
        <v>19766080.8199999</v>
      </c>
      <c r="C251">
        <v>2975118.58999999</v>
      </c>
      <c r="D251">
        <v>1320702.46</v>
      </c>
      <c r="E251">
        <v>184521.54</v>
      </c>
      <c r="F251">
        <v>549057.800555554</v>
      </c>
      <c r="G251">
        <v>82642.1830555554</v>
      </c>
      <c r="H251">
        <v>5272.044</v>
      </c>
      <c r="I251">
        <v>37734.356</v>
      </c>
      <c r="L251">
        <v>74.8117115824308</v>
      </c>
      <c r="M251">
        <v>67</v>
      </c>
      <c r="N251" t="str">
        <f t="shared" si="6"/>
        <v>C</v>
      </c>
      <c r="O251" t="str">
        <f t="shared" si="7"/>
        <v>短期</v>
      </c>
    </row>
    <row r="252" spans="1:15">
      <c r="A252" s="2" t="s">
        <v>259</v>
      </c>
      <c r="B252">
        <v>47130.24</v>
      </c>
      <c r="C252">
        <v>1429.76</v>
      </c>
      <c r="D252">
        <v>1268347.17</v>
      </c>
      <c r="E252">
        <v>38050.41</v>
      </c>
      <c r="F252">
        <v>15710.08</v>
      </c>
      <c r="G252">
        <v>476.586666666666</v>
      </c>
      <c r="H252">
        <v>1654.36565217391</v>
      </c>
      <c r="I252">
        <v>55145.5291304347</v>
      </c>
      <c r="L252">
        <v>74.5520485129098</v>
      </c>
      <c r="M252">
        <v>67</v>
      </c>
      <c r="N252" t="str">
        <f t="shared" si="6"/>
        <v>C</v>
      </c>
      <c r="O252" t="str">
        <f t="shared" si="7"/>
        <v>短期</v>
      </c>
    </row>
    <row r="253" spans="1:15">
      <c r="A253" s="2" t="s">
        <v>260</v>
      </c>
      <c r="B253">
        <v>528.3</v>
      </c>
      <c r="C253">
        <v>31.7</v>
      </c>
      <c r="D253">
        <v>985964.72</v>
      </c>
      <c r="E253">
        <v>29600.7799999999</v>
      </c>
      <c r="F253">
        <v>264.15</v>
      </c>
      <c r="G253">
        <v>15.85</v>
      </c>
      <c r="H253">
        <v>954.86387096774</v>
      </c>
      <c r="I253">
        <v>31805.3135483871</v>
      </c>
      <c r="L253">
        <v>74.527108772356</v>
      </c>
      <c r="M253">
        <v>67</v>
      </c>
      <c r="N253" t="str">
        <f t="shared" si="6"/>
        <v>C</v>
      </c>
      <c r="O253" t="str">
        <f t="shared" si="7"/>
        <v>短期</v>
      </c>
    </row>
    <row r="254" spans="1:15">
      <c r="A254" s="2" t="s">
        <v>261</v>
      </c>
      <c r="B254">
        <v>6353.53999999999</v>
      </c>
      <c r="C254">
        <v>206.459999999999</v>
      </c>
      <c r="D254">
        <v>566469.259999999</v>
      </c>
      <c r="E254">
        <v>17074.02</v>
      </c>
      <c r="F254">
        <v>2117.84666666666</v>
      </c>
      <c r="G254">
        <v>68.82</v>
      </c>
      <c r="H254">
        <v>1313.38615384615</v>
      </c>
      <c r="I254">
        <v>43574.5584615384</v>
      </c>
      <c r="L254">
        <v>74.5375376601041</v>
      </c>
      <c r="M254">
        <v>67</v>
      </c>
      <c r="N254" t="str">
        <f t="shared" si="6"/>
        <v>C</v>
      </c>
      <c r="O254" t="str">
        <f t="shared" si="7"/>
        <v>短期</v>
      </c>
    </row>
    <row r="255" spans="1:15">
      <c r="A255" s="2" t="s">
        <v>262</v>
      </c>
      <c r="B255">
        <v>245984.739999999</v>
      </c>
      <c r="C255">
        <v>8787.26000000001</v>
      </c>
      <c r="D255">
        <v>779587.07</v>
      </c>
      <c r="E255">
        <v>24216.23</v>
      </c>
      <c r="F255">
        <v>9460.95153846153</v>
      </c>
      <c r="G255">
        <v>337.971538461538</v>
      </c>
      <c r="H255">
        <v>1052.87956521739</v>
      </c>
      <c r="I255">
        <v>33895.09</v>
      </c>
      <c r="L255">
        <v>74.5320948266938</v>
      </c>
      <c r="M255">
        <v>67</v>
      </c>
      <c r="N255" t="str">
        <f t="shared" si="6"/>
        <v>C</v>
      </c>
      <c r="O255" t="str">
        <f t="shared" si="7"/>
        <v>短期</v>
      </c>
    </row>
    <row r="256" spans="1:15">
      <c r="A256" s="2" t="s">
        <v>263</v>
      </c>
      <c r="B256">
        <v>1178656.77999999</v>
      </c>
      <c r="C256">
        <v>139754.029999999</v>
      </c>
      <c r="D256">
        <v>877931.619999999</v>
      </c>
      <c r="E256">
        <v>108362.689999999</v>
      </c>
      <c r="F256">
        <v>38021.1864516128</v>
      </c>
      <c r="G256">
        <v>4508.19451612902</v>
      </c>
      <c r="H256">
        <v>3386.33406249999</v>
      </c>
      <c r="I256">
        <v>27435.3631249999</v>
      </c>
      <c r="L256">
        <v>74.5337061621693</v>
      </c>
      <c r="M256">
        <v>67</v>
      </c>
      <c r="N256" t="str">
        <f t="shared" si="6"/>
        <v>C</v>
      </c>
      <c r="O256" t="str">
        <f t="shared" si="7"/>
        <v>短期</v>
      </c>
    </row>
    <row r="257" spans="1:15">
      <c r="A257" s="2" t="s">
        <v>264</v>
      </c>
      <c r="B257">
        <v>1294317.85999999</v>
      </c>
      <c r="C257">
        <v>133700.829999999</v>
      </c>
      <c r="D257">
        <v>2260264.92999999</v>
      </c>
      <c r="E257">
        <v>224027.069999999</v>
      </c>
      <c r="F257">
        <v>34060.9963157894</v>
      </c>
      <c r="G257">
        <v>3518.44289473684</v>
      </c>
      <c r="H257">
        <v>7000.84593749999</v>
      </c>
      <c r="I257">
        <v>70633.2790624999</v>
      </c>
      <c r="L257">
        <v>74.5595755373804</v>
      </c>
      <c r="M257">
        <v>67</v>
      </c>
      <c r="N257" t="str">
        <f t="shared" si="6"/>
        <v>C</v>
      </c>
      <c r="O257" t="str">
        <f t="shared" si="7"/>
        <v>短期</v>
      </c>
    </row>
    <row r="258" spans="1:15">
      <c r="A258" s="2" t="s">
        <v>265</v>
      </c>
      <c r="B258">
        <v>528.3</v>
      </c>
      <c r="C258">
        <v>31.7</v>
      </c>
      <c r="D258">
        <v>1226591.10999999</v>
      </c>
      <c r="E258">
        <v>36797.8</v>
      </c>
      <c r="F258">
        <v>264.15</v>
      </c>
      <c r="G258">
        <v>15.85</v>
      </c>
      <c r="H258">
        <v>2453.18666666666</v>
      </c>
      <c r="I258">
        <v>81772.7406666666</v>
      </c>
      <c r="L258">
        <v>74.5686606065879</v>
      </c>
      <c r="M258">
        <v>67</v>
      </c>
      <c r="N258" t="str">
        <f t="shared" si="6"/>
        <v>C</v>
      </c>
      <c r="O258" t="str">
        <f t="shared" si="7"/>
        <v>短期</v>
      </c>
    </row>
    <row r="259" spans="1:15">
      <c r="A259" s="2" t="s">
        <v>266</v>
      </c>
      <c r="B259">
        <v>84704520.9999998</v>
      </c>
      <c r="C259">
        <v>12688834.96</v>
      </c>
      <c r="D259">
        <v>1495993.29</v>
      </c>
      <c r="E259">
        <v>222696.5</v>
      </c>
      <c r="F259">
        <v>2289311.37837837</v>
      </c>
      <c r="G259">
        <v>342941.485405406</v>
      </c>
      <c r="H259">
        <v>15906.8928571428</v>
      </c>
      <c r="I259">
        <v>106856.663571428</v>
      </c>
      <c r="L259">
        <v>83.7764761623251</v>
      </c>
      <c r="M259">
        <v>66</v>
      </c>
      <c r="N259" t="str">
        <f t="shared" ref="N259:N303" si="8">_xlfn.SWITCH(M259,65,"A",66,"B",67,"C",68,"D")</f>
        <v>B</v>
      </c>
      <c r="O259" t="str">
        <f t="shared" ref="O259:O303" si="9">_xlfn.SWITCH(N259,"A","长期","B","中期","C","短期","D","不提供借贷")</f>
        <v>中期</v>
      </c>
    </row>
    <row r="260" spans="1:15">
      <c r="A260" s="2" t="s">
        <v>267</v>
      </c>
      <c r="B260">
        <v>699.24</v>
      </c>
      <c r="C260">
        <v>60.76</v>
      </c>
      <c r="D260">
        <v>516453.399999999</v>
      </c>
      <c r="E260">
        <v>15493.6</v>
      </c>
      <c r="F260">
        <v>349.62</v>
      </c>
      <c r="G260">
        <v>30.38</v>
      </c>
      <c r="H260">
        <v>774.68</v>
      </c>
      <c r="I260">
        <v>25822.6699999999</v>
      </c>
      <c r="L260">
        <v>74.5221845075006</v>
      </c>
      <c r="M260">
        <v>67</v>
      </c>
      <c r="N260" t="str">
        <f t="shared" si="8"/>
        <v>C</v>
      </c>
      <c r="O260" t="str">
        <f t="shared" si="9"/>
        <v>短期</v>
      </c>
    </row>
    <row r="261" spans="1:15">
      <c r="A261" s="2" t="s">
        <v>268</v>
      </c>
      <c r="B261">
        <v>227271.78</v>
      </c>
      <c r="C261">
        <v>7278.22</v>
      </c>
      <c r="D261">
        <v>812322.31</v>
      </c>
      <c r="E261">
        <v>24369.69</v>
      </c>
      <c r="F261">
        <v>32467.3971428571</v>
      </c>
      <c r="G261">
        <v>1039.74571428571</v>
      </c>
      <c r="H261">
        <v>1624.646</v>
      </c>
      <c r="I261">
        <v>54154.8206666667</v>
      </c>
      <c r="L261">
        <v>74.5573166323998</v>
      </c>
      <c r="M261">
        <v>67</v>
      </c>
      <c r="N261" t="str">
        <f t="shared" si="8"/>
        <v>C</v>
      </c>
      <c r="O261" t="str">
        <f t="shared" si="9"/>
        <v>短期</v>
      </c>
    </row>
    <row r="262" spans="1:15">
      <c r="A262" s="3" t="s">
        <v>269</v>
      </c>
      <c r="B262">
        <v>2536964.06</v>
      </c>
      <c r="C262">
        <v>382025.34</v>
      </c>
      <c r="D262">
        <v>2003973.71</v>
      </c>
      <c r="E262">
        <v>296847.36</v>
      </c>
      <c r="F262">
        <v>72484.6874285714</v>
      </c>
      <c r="G262">
        <v>10915.0097142857</v>
      </c>
      <c r="H262">
        <v>37105.92</v>
      </c>
      <c r="I262">
        <v>250496.71375</v>
      </c>
      <c r="L262">
        <v>74.6532894359143</v>
      </c>
      <c r="M262">
        <v>67</v>
      </c>
      <c r="N262" t="str">
        <f t="shared" si="8"/>
        <v>C</v>
      </c>
      <c r="O262" t="str">
        <f t="shared" si="9"/>
        <v>短期</v>
      </c>
    </row>
    <row r="263" spans="1:15">
      <c r="A263" s="2" t="s">
        <v>270</v>
      </c>
      <c r="B263">
        <v>13660.67</v>
      </c>
      <c r="C263">
        <v>923.33</v>
      </c>
      <c r="D263">
        <v>471838.439999999</v>
      </c>
      <c r="E263">
        <v>14155.1499999999</v>
      </c>
      <c r="F263">
        <v>910.711333333333</v>
      </c>
      <c r="G263">
        <v>61.5553333333333</v>
      </c>
      <c r="H263">
        <v>1415.51499999999</v>
      </c>
      <c r="I263">
        <v>47183.844</v>
      </c>
      <c r="L263">
        <v>74.5401678532712</v>
      </c>
      <c r="M263">
        <v>67</v>
      </c>
      <c r="N263" t="str">
        <f t="shared" si="8"/>
        <v>C</v>
      </c>
      <c r="O263" t="str">
        <f t="shared" si="9"/>
        <v>短期</v>
      </c>
    </row>
    <row r="264" spans="1:15">
      <c r="A264" s="3" t="s">
        <v>271</v>
      </c>
      <c r="B264">
        <v>183097.06</v>
      </c>
      <c r="C264">
        <v>14150.2999999999</v>
      </c>
      <c r="D264">
        <v>4145631.12999999</v>
      </c>
      <c r="E264">
        <v>124368.869999999</v>
      </c>
      <c r="F264">
        <v>9154.853</v>
      </c>
      <c r="G264">
        <v>707.514999999999</v>
      </c>
      <c r="H264">
        <v>8291.25799999999</v>
      </c>
      <c r="I264">
        <v>276375.408666666</v>
      </c>
      <c r="L264">
        <v>74.7343384355627</v>
      </c>
      <c r="M264">
        <v>67</v>
      </c>
      <c r="N264" t="str">
        <f t="shared" si="8"/>
        <v>C</v>
      </c>
      <c r="O264" t="str">
        <f t="shared" si="9"/>
        <v>短期</v>
      </c>
    </row>
    <row r="265" spans="1:15">
      <c r="A265" s="2" t="s">
        <v>272</v>
      </c>
      <c r="B265">
        <v>1258.42</v>
      </c>
      <c r="C265">
        <v>121.579999999999</v>
      </c>
      <c r="D265">
        <v>825146.779999999</v>
      </c>
      <c r="E265">
        <v>24754.2199999999</v>
      </c>
      <c r="F265">
        <v>419.473333333333</v>
      </c>
      <c r="G265">
        <v>40.5266666666666</v>
      </c>
      <c r="H265">
        <v>884.079285714284</v>
      </c>
      <c r="I265">
        <v>29469.5278571428</v>
      </c>
      <c r="L265">
        <v>74.5252534429201</v>
      </c>
      <c r="M265">
        <v>67</v>
      </c>
      <c r="N265" t="str">
        <f t="shared" si="8"/>
        <v>C</v>
      </c>
      <c r="O265" t="str">
        <f t="shared" si="9"/>
        <v>短期</v>
      </c>
    </row>
    <row r="266" spans="1:15">
      <c r="A266" s="2" t="s">
        <v>273</v>
      </c>
      <c r="B266">
        <v>93133.58</v>
      </c>
      <c r="C266">
        <v>12324.22</v>
      </c>
      <c r="D266">
        <v>1031505.39999999</v>
      </c>
      <c r="E266">
        <v>30945.0999999999</v>
      </c>
      <c r="F266">
        <v>3582.06076923076</v>
      </c>
      <c r="G266">
        <v>474.008461538461</v>
      </c>
      <c r="H266">
        <v>884.145714285713</v>
      </c>
      <c r="I266">
        <v>29471.5828571428</v>
      </c>
      <c r="L266">
        <v>74.5268772769443</v>
      </c>
      <c r="M266">
        <v>67</v>
      </c>
      <c r="N266" t="str">
        <f t="shared" si="8"/>
        <v>C</v>
      </c>
      <c r="O266" t="str">
        <f t="shared" si="9"/>
        <v>短期</v>
      </c>
    </row>
    <row r="267" spans="1:15">
      <c r="A267" s="2" t="s">
        <v>274</v>
      </c>
      <c r="B267">
        <v>2836.56</v>
      </c>
      <c r="C267">
        <v>43.44</v>
      </c>
      <c r="D267">
        <v>461618.42</v>
      </c>
      <c r="E267">
        <v>13848.5799999999</v>
      </c>
      <c r="F267">
        <v>1418.28</v>
      </c>
      <c r="G267">
        <v>21.72</v>
      </c>
      <c r="H267">
        <v>1258.96181818181</v>
      </c>
      <c r="I267">
        <v>41965.3109090909</v>
      </c>
      <c r="L267">
        <v>74.5359307706469</v>
      </c>
      <c r="M267">
        <v>67</v>
      </c>
      <c r="N267" t="str">
        <f t="shared" si="8"/>
        <v>C</v>
      </c>
      <c r="O267" t="str">
        <f t="shared" si="9"/>
        <v>短期</v>
      </c>
    </row>
    <row r="268" spans="1:15">
      <c r="A268" s="2" t="s">
        <v>275</v>
      </c>
      <c r="B268">
        <v>6885.32999999999</v>
      </c>
      <c r="C268">
        <v>393.47</v>
      </c>
      <c r="D268">
        <v>794083.14</v>
      </c>
      <c r="E268">
        <v>23822.4799999999</v>
      </c>
      <c r="F268">
        <v>765.036666666666</v>
      </c>
      <c r="G268">
        <v>43.7188888888889</v>
      </c>
      <c r="H268">
        <v>4764.49599999999</v>
      </c>
      <c r="I268">
        <v>158816.628</v>
      </c>
      <c r="L268">
        <v>74.6329338430148</v>
      </c>
      <c r="M268">
        <v>67</v>
      </c>
      <c r="N268" t="str">
        <f t="shared" si="8"/>
        <v>C</v>
      </c>
      <c r="O268" t="str">
        <f t="shared" si="9"/>
        <v>短期</v>
      </c>
    </row>
    <row r="269" spans="1:15">
      <c r="A269" s="2" t="s">
        <v>276</v>
      </c>
      <c r="B269">
        <v>839.62</v>
      </c>
      <c r="C269">
        <v>50.38</v>
      </c>
      <c r="D269">
        <v>1313750.99999999</v>
      </c>
      <c r="E269">
        <v>40641.2</v>
      </c>
      <c r="F269">
        <v>279.873333333333</v>
      </c>
      <c r="G269">
        <v>16.7933333333333</v>
      </c>
      <c r="H269">
        <v>1069.50526315789</v>
      </c>
      <c r="I269">
        <v>34572.394736842</v>
      </c>
      <c r="L269">
        <v>74.5293152851396</v>
      </c>
      <c r="M269">
        <v>67</v>
      </c>
      <c r="N269" t="str">
        <f t="shared" si="8"/>
        <v>C</v>
      </c>
      <c r="O269" t="str">
        <f t="shared" si="9"/>
        <v>短期</v>
      </c>
    </row>
    <row r="270" spans="1:15">
      <c r="A270" s="2" t="s">
        <v>277</v>
      </c>
      <c r="B270">
        <v>88514.4199999999</v>
      </c>
      <c r="C270">
        <v>5435.33999999999</v>
      </c>
      <c r="D270">
        <v>1009536.89</v>
      </c>
      <c r="E270">
        <v>30301.11</v>
      </c>
      <c r="F270">
        <v>3052.22137931034</v>
      </c>
      <c r="G270">
        <v>187.425517241379</v>
      </c>
      <c r="H270">
        <v>946.9096875</v>
      </c>
      <c r="I270">
        <v>31548.0278125</v>
      </c>
      <c r="L270">
        <v>74.5280212411979</v>
      </c>
      <c r="M270">
        <v>67</v>
      </c>
      <c r="N270" t="str">
        <f t="shared" si="8"/>
        <v>C</v>
      </c>
      <c r="O270" t="str">
        <f t="shared" si="9"/>
        <v>短期</v>
      </c>
    </row>
    <row r="271" spans="1:15">
      <c r="A271" s="2" t="s">
        <v>278</v>
      </c>
      <c r="B271">
        <v>373649.92</v>
      </c>
      <c r="C271">
        <v>53578.32</v>
      </c>
      <c r="D271">
        <v>893770.03</v>
      </c>
      <c r="E271">
        <v>26836.5599999999</v>
      </c>
      <c r="F271">
        <v>23353.12</v>
      </c>
      <c r="G271">
        <v>3348.645</v>
      </c>
      <c r="H271">
        <v>745.459999999999</v>
      </c>
      <c r="I271">
        <v>24826.9452777777</v>
      </c>
      <c r="L271">
        <v>74.5333927582057</v>
      </c>
      <c r="M271">
        <v>67</v>
      </c>
      <c r="N271" t="str">
        <f t="shared" si="8"/>
        <v>C</v>
      </c>
      <c r="O271" t="str">
        <f t="shared" si="9"/>
        <v>短期</v>
      </c>
    </row>
    <row r="272" spans="1:15">
      <c r="A272" s="2" t="s">
        <v>279</v>
      </c>
      <c r="B272">
        <v>751513.69</v>
      </c>
      <c r="C272">
        <v>18565.1599999999</v>
      </c>
      <c r="D272">
        <v>1071989.32</v>
      </c>
      <c r="E272">
        <v>32159.68</v>
      </c>
      <c r="F272">
        <v>21471.8197142857</v>
      </c>
      <c r="G272">
        <v>530.433142857142</v>
      </c>
      <c r="H272">
        <v>3215.968</v>
      </c>
      <c r="I272">
        <v>107198.932</v>
      </c>
      <c r="L272">
        <v>74.5972325972893</v>
      </c>
      <c r="M272">
        <v>67</v>
      </c>
      <c r="N272" t="str">
        <f t="shared" si="8"/>
        <v>C</v>
      </c>
      <c r="O272" t="str">
        <f t="shared" si="9"/>
        <v>短期</v>
      </c>
    </row>
    <row r="273" spans="1:15">
      <c r="A273" s="2" t="s">
        <v>280</v>
      </c>
      <c r="B273">
        <v>231871.949999999</v>
      </c>
      <c r="C273">
        <v>32584.0699999999</v>
      </c>
      <c r="D273">
        <v>1900800.64</v>
      </c>
      <c r="E273">
        <v>315822.46</v>
      </c>
      <c r="F273">
        <v>7479.74032258064</v>
      </c>
      <c r="G273">
        <v>1051.09903225806</v>
      </c>
      <c r="H273">
        <v>11279.3735714285</v>
      </c>
      <c r="I273">
        <v>67885.7371428571</v>
      </c>
      <c r="L273">
        <v>74.5314843130094</v>
      </c>
      <c r="M273">
        <v>67</v>
      </c>
      <c r="N273" t="str">
        <f t="shared" si="8"/>
        <v>C</v>
      </c>
      <c r="O273" t="str">
        <f t="shared" si="9"/>
        <v>短期</v>
      </c>
    </row>
    <row r="274" spans="1:15">
      <c r="A274" s="2" t="s">
        <v>281</v>
      </c>
      <c r="B274">
        <v>448666.609999999</v>
      </c>
      <c r="C274">
        <v>50049.57</v>
      </c>
      <c r="D274">
        <v>618130.349999999</v>
      </c>
      <c r="E274">
        <v>37087.85</v>
      </c>
      <c r="F274">
        <v>14020.8315624999</v>
      </c>
      <c r="G274">
        <v>1564.0490625</v>
      </c>
      <c r="H274">
        <v>2472.52333333333</v>
      </c>
      <c r="I274">
        <v>41208.6899999999</v>
      </c>
      <c r="L274">
        <v>74.5375672994133</v>
      </c>
      <c r="M274">
        <v>67</v>
      </c>
      <c r="N274" t="str">
        <f t="shared" si="8"/>
        <v>C</v>
      </c>
      <c r="O274" t="str">
        <f t="shared" si="9"/>
        <v>短期</v>
      </c>
    </row>
    <row r="275" spans="1:15">
      <c r="A275" s="2" t="s">
        <v>282</v>
      </c>
      <c r="B275">
        <v>383834.1</v>
      </c>
      <c r="C275">
        <v>58805.8999999999</v>
      </c>
      <c r="D275">
        <v>650214.959999999</v>
      </c>
      <c r="E275">
        <v>19506.5399999999</v>
      </c>
      <c r="F275">
        <v>42648.2333333333</v>
      </c>
      <c r="G275">
        <v>6533.98888888888</v>
      </c>
      <c r="H275">
        <v>1393.32428571428</v>
      </c>
      <c r="I275">
        <v>46443.9257142856</v>
      </c>
      <c r="L275">
        <v>74.5620550085045</v>
      </c>
      <c r="M275">
        <v>67</v>
      </c>
      <c r="N275" t="str">
        <f t="shared" si="8"/>
        <v>C</v>
      </c>
      <c r="O275" t="str">
        <f t="shared" si="9"/>
        <v>短期</v>
      </c>
    </row>
    <row r="276" spans="1:15">
      <c r="A276" s="2" t="s">
        <v>283</v>
      </c>
      <c r="B276">
        <v>77724.0099999999</v>
      </c>
      <c r="C276">
        <v>3086.78</v>
      </c>
      <c r="D276">
        <v>618867.379999999</v>
      </c>
      <c r="E276">
        <v>18565.9699999999</v>
      </c>
      <c r="F276">
        <v>2507.22612903225</v>
      </c>
      <c r="G276">
        <v>99.5735483870967</v>
      </c>
      <c r="H276">
        <v>928.298499999999</v>
      </c>
      <c r="I276">
        <v>30943.3689999999</v>
      </c>
      <c r="L276">
        <v>74.5272214146442</v>
      </c>
      <c r="M276">
        <v>67</v>
      </c>
      <c r="N276" t="str">
        <f t="shared" si="8"/>
        <v>C</v>
      </c>
      <c r="O276" t="str">
        <f t="shared" si="9"/>
        <v>短期</v>
      </c>
    </row>
    <row r="277" spans="1:15">
      <c r="A277" s="2" t="s">
        <v>284</v>
      </c>
      <c r="B277">
        <v>18163.24</v>
      </c>
      <c r="C277">
        <v>2007.95999999999</v>
      </c>
      <c r="D277">
        <v>442160.009999999</v>
      </c>
      <c r="E277">
        <v>13264.7899999999</v>
      </c>
      <c r="F277">
        <v>756.801666666666</v>
      </c>
      <c r="G277">
        <v>83.6649999999999</v>
      </c>
      <c r="H277">
        <v>1894.96999999999</v>
      </c>
      <c r="I277">
        <v>63165.7157142857</v>
      </c>
      <c r="L277">
        <v>74.5534408267923</v>
      </c>
      <c r="M277">
        <v>67</v>
      </c>
      <c r="N277" t="str">
        <f t="shared" si="8"/>
        <v>C</v>
      </c>
      <c r="O277" t="str">
        <f t="shared" si="9"/>
        <v>短期</v>
      </c>
    </row>
    <row r="278" spans="1:15">
      <c r="A278" s="2" t="s">
        <v>285</v>
      </c>
      <c r="B278">
        <v>63453.47</v>
      </c>
      <c r="C278">
        <v>8190.18</v>
      </c>
      <c r="D278">
        <v>815647.97</v>
      </c>
      <c r="E278">
        <v>24679.7299999999</v>
      </c>
      <c r="F278">
        <v>5768.49727272727</v>
      </c>
      <c r="G278">
        <v>744.561818181818</v>
      </c>
      <c r="H278">
        <v>1175.22523809523</v>
      </c>
      <c r="I278">
        <v>38840.3795238095</v>
      </c>
      <c r="L278">
        <v>74.5357150965873</v>
      </c>
      <c r="M278">
        <v>67</v>
      </c>
      <c r="N278" t="str">
        <f t="shared" si="8"/>
        <v>C</v>
      </c>
      <c r="O278" t="str">
        <f t="shared" si="9"/>
        <v>短期</v>
      </c>
    </row>
    <row r="279" spans="1:15">
      <c r="A279" s="2" t="s">
        <v>286</v>
      </c>
      <c r="B279">
        <v>165356.499999999</v>
      </c>
      <c r="C279">
        <v>21714.35</v>
      </c>
      <c r="D279">
        <v>314030.71</v>
      </c>
      <c r="E279">
        <v>46262.2799999999</v>
      </c>
      <c r="F279">
        <v>9186.47222222222</v>
      </c>
      <c r="G279">
        <v>1206.35277777777</v>
      </c>
      <c r="H279">
        <v>2721.31058823529</v>
      </c>
      <c r="I279">
        <v>18472.3947058823</v>
      </c>
      <c r="L279">
        <v>74.5136636024105</v>
      </c>
      <c r="M279">
        <v>67</v>
      </c>
      <c r="N279" t="str">
        <f t="shared" si="8"/>
        <v>C</v>
      </c>
      <c r="O279" t="str">
        <f t="shared" si="9"/>
        <v>短期</v>
      </c>
    </row>
    <row r="280" spans="1:15">
      <c r="A280" s="2" t="s">
        <v>287</v>
      </c>
      <c r="B280">
        <v>413456.7</v>
      </c>
      <c r="C280">
        <v>68751.3</v>
      </c>
      <c r="D280">
        <v>470389.58</v>
      </c>
      <c r="E280">
        <v>78244.7399999999</v>
      </c>
      <c r="F280">
        <v>29532.6214285714</v>
      </c>
      <c r="G280">
        <v>4910.80714285714</v>
      </c>
      <c r="H280">
        <v>6520.39499999999</v>
      </c>
      <c r="I280">
        <v>39199.1316666666</v>
      </c>
      <c r="L280">
        <v>74.5325530767874</v>
      </c>
      <c r="M280">
        <v>67</v>
      </c>
      <c r="N280" t="str">
        <f t="shared" si="8"/>
        <v>C</v>
      </c>
      <c r="O280" t="str">
        <f t="shared" si="9"/>
        <v>短期</v>
      </c>
    </row>
    <row r="281" spans="1:15">
      <c r="A281" s="2" t="s">
        <v>288</v>
      </c>
      <c r="B281">
        <v>90426.81</v>
      </c>
      <c r="C281">
        <v>9624.71</v>
      </c>
      <c r="D281">
        <v>1197548.35</v>
      </c>
      <c r="E281">
        <v>45183.3599999999</v>
      </c>
      <c r="F281">
        <v>3014.227</v>
      </c>
      <c r="G281">
        <v>320.823666666666</v>
      </c>
      <c r="H281">
        <v>1221.17189189189</v>
      </c>
      <c r="I281">
        <v>32366.1716216216</v>
      </c>
      <c r="L281">
        <v>74.5280883052806</v>
      </c>
      <c r="M281">
        <v>67</v>
      </c>
      <c r="N281" t="str">
        <f t="shared" si="8"/>
        <v>C</v>
      </c>
      <c r="O281" t="str">
        <f t="shared" si="9"/>
        <v>短期</v>
      </c>
    </row>
    <row r="282" spans="1:15">
      <c r="A282" s="3" t="s">
        <v>289</v>
      </c>
      <c r="B282">
        <v>816347.35</v>
      </c>
      <c r="C282">
        <v>120637.65</v>
      </c>
      <c r="D282">
        <v>830292.22</v>
      </c>
      <c r="E282">
        <v>85807.7799999999</v>
      </c>
      <c r="F282">
        <v>58310.525</v>
      </c>
      <c r="G282">
        <v>8616.975</v>
      </c>
      <c r="H282">
        <v>12258.2542857142</v>
      </c>
      <c r="I282">
        <v>118613.174285714</v>
      </c>
      <c r="L282">
        <v>74.6023421260618</v>
      </c>
      <c r="M282">
        <v>67</v>
      </c>
      <c r="N282" t="str">
        <f t="shared" si="8"/>
        <v>C</v>
      </c>
      <c r="O282" t="str">
        <f t="shared" si="9"/>
        <v>短期</v>
      </c>
    </row>
    <row r="283" spans="1:15">
      <c r="A283" s="2" t="s">
        <v>290</v>
      </c>
      <c r="B283">
        <v>86172.2599999999</v>
      </c>
      <c r="C283">
        <v>5166.86</v>
      </c>
      <c r="D283">
        <v>591433</v>
      </c>
      <c r="E283">
        <v>17743</v>
      </c>
      <c r="F283">
        <v>17234.4519999999</v>
      </c>
      <c r="G283">
        <v>1033.37199999999</v>
      </c>
      <c r="H283">
        <v>1108.9375</v>
      </c>
      <c r="I283">
        <v>36964.5625</v>
      </c>
      <c r="L283">
        <v>74.5382145589893</v>
      </c>
      <c r="M283">
        <v>67</v>
      </c>
      <c r="N283" t="str">
        <f t="shared" si="8"/>
        <v>C</v>
      </c>
      <c r="O283" t="str">
        <f t="shared" si="9"/>
        <v>短期</v>
      </c>
    </row>
    <row r="284" spans="1:15">
      <c r="A284" s="2" t="s">
        <v>291</v>
      </c>
      <c r="B284">
        <v>191619.409999999</v>
      </c>
      <c r="C284">
        <v>6404.38</v>
      </c>
      <c r="D284">
        <v>831766.44</v>
      </c>
      <c r="E284">
        <v>24953.01</v>
      </c>
      <c r="F284">
        <v>9580.97049999999</v>
      </c>
      <c r="G284">
        <v>320.219</v>
      </c>
      <c r="H284">
        <v>2079.4175</v>
      </c>
      <c r="I284">
        <v>69313.87</v>
      </c>
      <c r="L284">
        <v>74.5616745088527</v>
      </c>
      <c r="M284">
        <v>67</v>
      </c>
      <c r="N284" t="str">
        <f t="shared" si="8"/>
        <v>C</v>
      </c>
      <c r="O284" t="str">
        <f t="shared" si="9"/>
        <v>短期</v>
      </c>
    </row>
    <row r="285" spans="1:15">
      <c r="A285" s="2" t="s">
        <v>292</v>
      </c>
      <c r="B285">
        <v>388120.85</v>
      </c>
      <c r="C285">
        <v>23123.33</v>
      </c>
      <c r="D285">
        <v>1848944.64999999</v>
      </c>
      <c r="E285">
        <v>55468.3499999999</v>
      </c>
      <c r="F285">
        <v>14374.8462962962</v>
      </c>
      <c r="G285">
        <v>856.41962962963</v>
      </c>
      <c r="H285">
        <v>4266.79615384615</v>
      </c>
      <c r="I285">
        <v>142226.511538461</v>
      </c>
      <c r="L285">
        <v>74.6246016387384</v>
      </c>
      <c r="M285">
        <v>67</v>
      </c>
      <c r="N285" t="str">
        <f t="shared" si="8"/>
        <v>C</v>
      </c>
      <c r="O285" t="str">
        <f t="shared" si="9"/>
        <v>短期</v>
      </c>
    </row>
    <row r="286" spans="1:15">
      <c r="A286" s="2" t="s">
        <v>293</v>
      </c>
      <c r="B286">
        <v>60304.62</v>
      </c>
      <c r="C286">
        <v>7469.51999999999</v>
      </c>
      <c r="D286">
        <v>522142.94</v>
      </c>
      <c r="E286">
        <v>15683.06</v>
      </c>
      <c r="F286">
        <v>3173.92736842105</v>
      </c>
      <c r="G286">
        <v>393.132631578947</v>
      </c>
      <c r="H286">
        <v>980.19125</v>
      </c>
      <c r="I286">
        <v>32633.93375</v>
      </c>
      <c r="L286">
        <v>74.529257630158</v>
      </c>
      <c r="M286">
        <v>67</v>
      </c>
      <c r="N286" t="str">
        <f t="shared" si="8"/>
        <v>C</v>
      </c>
      <c r="O286" t="str">
        <f t="shared" si="9"/>
        <v>短期</v>
      </c>
    </row>
    <row r="287" spans="1:15">
      <c r="A287" s="2" t="s">
        <v>294</v>
      </c>
      <c r="B287">
        <v>47059.7199999999</v>
      </c>
      <c r="C287">
        <v>2639.27999999999</v>
      </c>
      <c r="D287">
        <v>216430.45</v>
      </c>
      <c r="E287">
        <v>6492.92</v>
      </c>
      <c r="F287">
        <v>4705.972</v>
      </c>
      <c r="G287">
        <v>263.928</v>
      </c>
      <c r="H287">
        <v>249.727692307692</v>
      </c>
      <c r="I287">
        <v>8324.24807692307</v>
      </c>
      <c r="L287">
        <v>74.5093438923497</v>
      </c>
      <c r="M287">
        <v>67</v>
      </c>
      <c r="N287" t="str">
        <f t="shared" si="8"/>
        <v>C</v>
      </c>
      <c r="O287" t="str">
        <f t="shared" si="9"/>
        <v>短期</v>
      </c>
    </row>
    <row r="288" spans="1:15">
      <c r="A288" s="2" t="s">
        <v>295</v>
      </c>
      <c r="B288">
        <v>16780.68</v>
      </c>
      <c r="C288">
        <v>2095.49</v>
      </c>
      <c r="D288">
        <v>406965.83</v>
      </c>
      <c r="E288">
        <v>5892.16999999999</v>
      </c>
      <c r="F288">
        <v>932.26</v>
      </c>
      <c r="G288">
        <v>116.416111111111</v>
      </c>
      <c r="H288">
        <v>226.621923076923</v>
      </c>
      <c r="I288">
        <v>15652.5319230769</v>
      </c>
      <c r="L288">
        <v>74.5148086646042</v>
      </c>
      <c r="M288">
        <v>67</v>
      </c>
      <c r="N288" t="str">
        <f t="shared" si="8"/>
        <v>C</v>
      </c>
      <c r="O288" t="str">
        <f t="shared" si="9"/>
        <v>短期</v>
      </c>
    </row>
    <row r="289" spans="1:15">
      <c r="A289" s="2" t="s">
        <v>296</v>
      </c>
      <c r="B289">
        <v>245753.44</v>
      </c>
      <c r="C289">
        <v>5947.58999999999</v>
      </c>
      <c r="D289">
        <v>260305.239999999</v>
      </c>
      <c r="E289">
        <v>7997.75999999999</v>
      </c>
      <c r="F289">
        <v>9830.1376</v>
      </c>
      <c r="G289">
        <v>237.903599999999</v>
      </c>
      <c r="H289">
        <v>275.784827586206</v>
      </c>
      <c r="I289">
        <v>8976.04275862068</v>
      </c>
      <c r="L289">
        <v>59.5114400973131</v>
      </c>
      <c r="M289">
        <v>68</v>
      </c>
      <c r="N289" t="str">
        <f t="shared" si="8"/>
        <v>D</v>
      </c>
      <c r="O289" t="str">
        <f t="shared" si="9"/>
        <v>不提供借贷</v>
      </c>
    </row>
    <row r="290" spans="1:15">
      <c r="A290" s="2" t="s">
        <v>297</v>
      </c>
      <c r="B290">
        <v>65895.2399999999</v>
      </c>
      <c r="C290">
        <v>3985.12</v>
      </c>
      <c r="D290">
        <v>320552.779999999</v>
      </c>
      <c r="E290">
        <v>10548.22</v>
      </c>
      <c r="F290">
        <v>3137.86857142857</v>
      </c>
      <c r="G290">
        <v>189.767619047619</v>
      </c>
      <c r="H290">
        <v>319.64303030303</v>
      </c>
      <c r="I290">
        <v>9713.7206060606</v>
      </c>
      <c r="L290">
        <v>59.5098087549242</v>
      </c>
      <c r="M290">
        <v>68</v>
      </c>
      <c r="N290" t="str">
        <f t="shared" si="8"/>
        <v>D</v>
      </c>
      <c r="O290" t="str">
        <f t="shared" si="9"/>
        <v>不提供借贷</v>
      </c>
    </row>
    <row r="291" spans="1:15">
      <c r="A291" s="2" t="s">
        <v>298</v>
      </c>
      <c r="B291">
        <v>24463.71</v>
      </c>
      <c r="C291">
        <v>2780.19</v>
      </c>
      <c r="D291">
        <v>286978.87</v>
      </c>
      <c r="E291">
        <v>8609.43999999999</v>
      </c>
      <c r="F291">
        <v>1439.04176470588</v>
      </c>
      <c r="G291">
        <v>163.540588235294</v>
      </c>
      <c r="H291">
        <v>956.604444444444</v>
      </c>
      <c r="I291">
        <v>31886.5411111111</v>
      </c>
      <c r="L291">
        <v>74.527761860407</v>
      </c>
      <c r="M291">
        <v>67</v>
      </c>
      <c r="N291" t="str">
        <f t="shared" si="8"/>
        <v>C</v>
      </c>
      <c r="O291" t="str">
        <f t="shared" si="9"/>
        <v>短期</v>
      </c>
    </row>
    <row r="292" spans="1:15">
      <c r="A292" s="2" t="s">
        <v>299</v>
      </c>
      <c r="B292">
        <v>9804.72</v>
      </c>
      <c r="C292">
        <v>477.61</v>
      </c>
      <c r="D292">
        <v>377087.369999999</v>
      </c>
      <c r="E292">
        <v>11312.63</v>
      </c>
      <c r="F292">
        <v>1960.944</v>
      </c>
      <c r="G292">
        <v>95.522</v>
      </c>
      <c r="H292">
        <v>1616.09</v>
      </c>
      <c r="I292">
        <v>53869.6242857142</v>
      </c>
      <c r="L292">
        <v>74.5461070235506</v>
      </c>
      <c r="M292">
        <v>67</v>
      </c>
      <c r="N292" t="str">
        <f t="shared" si="8"/>
        <v>C</v>
      </c>
      <c r="O292" t="str">
        <f t="shared" si="9"/>
        <v>短期</v>
      </c>
    </row>
    <row r="293" spans="1:15">
      <c r="A293" s="2" t="s">
        <v>300</v>
      </c>
      <c r="B293">
        <v>17142.86</v>
      </c>
      <c r="C293">
        <v>857.14</v>
      </c>
      <c r="D293">
        <v>85328.75</v>
      </c>
      <c r="E293">
        <v>2564.44999999999</v>
      </c>
      <c r="F293">
        <v>8571.43</v>
      </c>
      <c r="G293">
        <v>428.57</v>
      </c>
      <c r="H293">
        <v>111.497826086956</v>
      </c>
      <c r="I293">
        <v>3709.94565217391</v>
      </c>
      <c r="L293">
        <v>54.5069610570179</v>
      </c>
      <c r="M293">
        <v>68</v>
      </c>
      <c r="N293" t="str">
        <f t="shared" si="8"/>
        <v>D</v>
      </c>
      <c r="O293" t="str">
        <f t="shared" si="9"/>
        <v>不提供借贷</v>
      </c>
    </row>
    <row r="294" spans="1:15">
      <c r="A294" s="2" t="s">
        <v>301</v>
      </c>
      <c r="B294">
        <v>105461.63</v>
      </c>
      <c r="C294">
        <v>6296.09</v>
      </c>
      <c r="D294">
        <v>209414.409999999</v>
      </c>
      <c r="E294">
        <v>6282.39</v>
      </c>
      <c r="F294">
        <v>15065.9471428571</v>
      </c>
      <c r="G294">
        <v>899.441428571428</v>
      </c>
      <c r="H294">
        <v>785.29875</v>
      </c>
      <c r="I294">
        <v>26176.8012499999</v>
      </c>
      <c r="L294">
        <v>74.5283676238554</v>
      </c>
      <c r="M294">
        <v>67</v>
      </c>
      <c r="N294" t="str">
        <f t="shared" si="8"/>
        <v>C</v>
      </c>
      <c r="O294" t="str">
        <f t="shared" si="9"/>
        <v>短期</v>
      </c>
    </row>
    <row r="295" spans="1:15">
      <c r="A295" s="2" t="s">
        <v>302</v>
      </c>
      <c r="B295">
        <v>155036.39</v>
      </c>
      <c r="C295">
        <v>18782.0699999999</v>
      </c>
      <c r="D295">
        <v>161669.919999999</v>
      </c>
      <c r="E295">
        <v>4850.08</v>
      </c>
      <c r="F295">
        <v>5001.17387096774</v>
      </c>
      <c r="G295">
        <v>605.873225806451</v>
      </c>
      <c r="H295">
        <v>1212.52</v>
      </c>
      <c r="I295">
        <v>40417.4799999999</v>
      </c>
      <c r="L295">
        <v>74.5366162736764</v>
      </c>
      <c r="M295">
        <v>67</v>
      </c>
      <c r="N295" t="str">
        <f t="shared" si="8"/>
        <v>C</v>
      </c>
      <c r="O295" t="str">
        <f t="shared" si="9"/>
        <v>短期</v>
      </c>
    </row>
    <row r="296" spans="1:15">
      <c r="A296" s="2" t="s">
        <v>303</v>
      </c>
      <c r="B296">
        <v>46292.93</v>
      </c>
      <c r="C296">
        <v>2702.50999999999</v>
      </c>
      <c r="D296">
        <v>425830.54</v>
      </c>
      <c r="E296">
        <v>13060.66</v>
      </c>
      <c r="F296">
        <v>2436.47</v>
      </c>
      <c r="G296">
        <v>142.237368421052</v>
      </c>
      <c r="H296">
        <v>1451.18444444444</v>
      </c>
      <c r="I296">
        <v>47314.5044444444</v>
      </c>
      <c r="L296">
        <v>74.540772536232</v>
      </c>
      <c r="M296">
        <v>67</v>
      </c>
      <c r="N296" t="str">
        <f t="shared" si="8"/>
        <v>C</v>
      </c>
      <c r="O296" t="str">
        <f t="shared" si="9"/>
        <v>短期</v>
      </c>
    </row>
    <row r="297" spans="1:15">
      <c r="A297" s="2" t="s">
        <v>304</v>
      </c>
      <c r="B297">
        <v>11780867.65</v>
      </c>
      <c r="C297">
        <v>128731.87</v>
      </c>
      <c r="D297">
        <v>52075.47</v>
      </c>
      <c r="E297">
        <v>3124.52999999999</v>
      </c>
      <c r="F297">
        <v>310022.832894736</v>
      </c>
      <c r="G297">
        <v>3387.68078947368</v>
      </c>
      <c r="H297">
        <v>781.132499999999</v>
      </c>
      <c r="I297">
        <v>13018.8675</v>
      </c>
      <c r="L297">
        <v>74.6127708159273</v>
      </c>
      <c r="M297">
        <v>67</v>
      </c>
      <c r="N297" t="str">
        <f t="shared" si="8"/>
        <v>C</v>
      </c>
      <c r="O297" t="str">
        <f t="shared" si="9"/>
        <v>短期</v>
      </c>
    </row>
    <row r="298" spans="1:15">
      <c r="A298" s="2" t="s">
        <v>305</v>
      </c>
      <c r="B298">
        <v>1875705.46</v>
      </c>
      <c r="C298">
        <v>261883.9</v>
      </c>
      <c r="D298">
        <v>71630.2699999999</v>
      </c>
      <c r="E298">
        <v>10691.46</v>
      </c>
      <c r="F298">
        <v>58615.795625</v>
      </c>
      <c r="G298">
        <v>8183.871875</v>
      </c>
      <c r="H298">
        <v>356.381999999999</v>
      </c>
      <c r="I298">
        <v>2387.67566666666</v>
      </c>
      <c r="L298">
        <v>54.531919852892</v>
      </c>
      <c r="M298">
        <v>68</v>
      </c>
      <c r="N298" t="str">
        <f t="shared" si="8"/>
        <v>D</v>
      </c>
      <c r="O298" t="str">
        <f t="shared" si="9"/>
        <v>不提供借贷</v>
      </c>
    </row>
    <row r="299" spans="1:15">
      <c r="A299" s="2" t="s">
        <v>306</v>
      </c>
      <c r="B299">
        <v>30393.8099999999</v>
      </c>
      <c r="C299">
        <v>1776.18999999999</v>
      </c>
      <c r="D299">
        <v>245700.759999999</v>
      </c>
      <c r="E299">
        <v>7371.06999999999</v>
      </c>
      <c r="F299">
        <v>2337.98538461538</v>
      </c>
      <c r="G299">
        <v>136.63</v>
      </c>
      <c r="H299">
        <v>1474.21399999999</v>
      </c>
      <c r="I299">
        <v>49140.1519999999</v>
      </c>
      <c r="L299">
        <v>74.5423524443748</v>
      </c>
      <c r="M299">
        <v>67</v>
      </c>
      <c r="N299" t="str">
        <f t="shared" si="8"/>
        <v>C</v>
      </c>
      <c r="O299" t="str">
        <f t="shared" si="9"/>
        <v>短期</v>
      </c>
    </row>
    <row r="300" spans="1:15">
      <c r="A300" s="2" t="s">
        <v>307</v>
      </c>
      <c r="B300">
        <v>889.39</v>
      </c>
      <c r="C300">
        <v>70.61</v>
      </c>
      <c r="D300">
        <v>27018.3099999999</v>
      </c>
      <c r="E300">
        <v>838.3</v>
      </c>
      <c r="F300">
        <v>296.463333333333</v>
      </c>
      <c r="G300">
        <v>23.5366666666666</v>
      </c>
      <c r="H300">
        <v>64.4846153846153</v>
      </c>
      <c r="I300">
        <v>2078.33153846153</v>
      </c>
      <c r="L300">
        <v>54.5024090619242</v>
      </c>
      <c r="M300">
        <v>68</v>
      </c>
      <c r="N300" t="str">
        <f t="shared" si="8"/>
        <v>D</v>
      </c>
      <c r="O300" t="str">
        <f t="shared" si="9"/>
        <v>不提供借贷</v>
      </c>
    </row>
    <row r="301" spans="1:15">
      <c r="A301" s="2" t="s">
        <v>308</v>
      </c>
      <c r="B301">
        <v>61046.14</v>
      </c>
      <c r="C301">
        <v>8005.55999999999</v>
      </c>
      <c r="D301">
        <v>72786.4</v>
      </c>
      <c r="E301">
        <v>2183.6</v>
      </c>
      <c r="F301">
        <v>5549.64909090909</v>
      </c>
      <c r="G301">
        <v>727.778181818181</v>
      </c>
      <c r="H301">
        <v>363.933333333333</v>
      </c>
      <c r="I301">
        <v>12131.0666666666</v>
      </c>
      <c r="L301">
        <v>64.5134450872934</v>
      </c>
      <c r="M301">
        <v>68</v>
      </c>
      <c r="N301" t="str">
        <f t="shared" si="8"/>
        <v>D</v>
      </c>
      <c r="O301" t="str">
        <f t="shared" si="9"/>
        <v>不提供借贷</v>
      </c>
    </row>
    <row r="302" spans="1:15">
      <c r="A302" s="2" t="s">
        <v>309</v>
      </c>
      <c r="B302">
        <v>254329.899999999</v>
      </c>
      <c r="C302">
        <v>17669.4899999999</v>
      </c>
      <c r="D302">
        <v>76896.4199999999</v>
      </c>
      <c r="E302">
        <v>2306.87999999999</v>
      </c>
      <c r="F302">
        <v>21194.1583333333</v>
      </c>
      <c r="G302">
        <v>1472.45749999999</v>
      </c>
      <c r="H302">
        <v>177.452307692307</v>
      </c>
      <c r="I302">
        <v>5915.10923076923</v>
      </c>
      <c r="L302">
        <v>54.5142766927436</v>
      </c>
      <c r="M302">
        <v>68</v>
      </c>
      <c r="N302" t="str">
        <f t="shared" si="8"/>
        <v>D</v>
      </c>
      <c r="O302" t="str">
        <f t="shared" si="9"/>
        <v>不提供借贷</v>
      </c>
    </row>
    <row r="303" spans="1:15">
      <c r="A303" s="2" t="s">
        <v>310</v>
      </c>
      <c r="B303">
        <v>57196.25</v>
      </c>
      <c r="C303">
        <v>4885.15</v>
      </c>
      <c r="D303">
        <v>85126.2099999999</v>
      </c>
      <c r="E303">
        <v>2553.79</v>
      </c>
      <c r="F303">
        <v>2723.63095238095</v>
      </c>
      <c r="G303">
        <v>232.62619047619</v>
      </c>
      <c r="H303">
        <v>851.263333333333</v>
      </c>
      <c r="I303">
        <v>28375.4033333333</v>
      </c>
      <c r="L303">
        <v>74.5253466414774</v>
      </c>
      <c r="M303">
        <v>67</v>
      </c>
      <c r="N303" t="str">
        <f t="shared" si="8"/>
        <v>C</v>
      </c>
      <c r="O303" t="str">
        <f t="shared" si="9"/>
        <v>短期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保辰帅比</dc:creator>
  <cp:lastModifiedBy>Utopian</cp:lastModifiedBy>
  <dcterms:created xsi:type="dcterms:W3CDTF">2015-06-05T18:19:00Z</dcterms:created>
  <dcterms:modified xsi:type="dcterms:W3CDTF">2020-09-13T03:29:46Z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