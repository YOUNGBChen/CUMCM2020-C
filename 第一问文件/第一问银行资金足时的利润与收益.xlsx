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<sst xmlns="http://schemas.openxmlformats.org/spreadsheetml/2006/main" count="127" uniqueCount="8">
  <si>
    <t>贷款年利率</t>
  </si>
  <si>
    <t>最大营收</t>
  </si>
  <si>
    <t>信誉评级</t>
  </si>
  <si>
    <t>可贷款年限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</si>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</sst>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4" fillId="19" borderId="1" applyNumberFormat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abSelected="1" workbookViewId="0">
      <selection activeCell="E6" sqref="E6"/>
    </sheetView>
  </sheetViews>
  <sheetFormatPr defaultColWidth="8.88888888888889" defaultRowHeight="14.4" outlineLevelCol="3"/>
  <cols>
    <col min="1" max="1" width="15.4444444444444" customWidth="1"/>
    <col min="2" max="2" width="12.5555555555556" customWidth="1"/>
    <col min="3" max="3" width="17.1296296296296" customWidth="1"/>
    <col min="4" max="4" width="14.1111111111111" customWidth="1"/>
    <col min="5" max="5" width="15.2222222222222" customWidth="1"/>
    <col min="6" max="6" width="11.3333333333333" customWidth="1"/>
    <col min="7" max="7" width="13" customWidth="1"/>
    <col min="8" max="107" width="9.66666666666667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>
        <v>0.0410753662320729</v>
      </c>
      <c r="B2" s="2">
        <v>36869681.3880741</v>
      </c>
      <c r="C2" s="3" t="s">
        <v>4</v>
      </c>
      <c r="D2" t="str">
        <f>_xlfn.SWITCH(C2,"A","长期","B","C","短期","D","不提供借贷")</f>
        <v>长期</v>
      </c>
    </row>
    <row r="3" spans="1:4">
      <c r="A3">
        <v>0.041</v>
      </c>
      <c r="B3" s="2">
        <v>36803826.6291584</v>
      </c>
      <c r="C3" s="3" t="s">
        <v>4</v>
      </c>
      <c r="D3" t="str">
        <f t="shared" ref="D3:D34" si="0">_xlfn.SWITCH(C3,"A","长期","B","C","短期","D","不提供借贷")</f>
        <v>长期</v>
      </c>
    </row>
    <row r="4" spans="1:4">
      <c r="A4">
        <v>0.0418204524128178</v>
      </c>
      <c r="B4" s="2">
        <v>76248920.8794255</v>
      </c>
      <c r="C4" s="3" t="s">
        <v>5</v>
      </c>
      <c r="D4" t="str">
        <f t="shared" si="0"/>
        <v>不提供借贷</v>
      </c>
    </row>
    <row r="5" spans="1:4">
      <c r="A5">
        <v>0.041</v>
      </c>
      <c r="B5" s="2">
        <v>74771876.5103263</v>
      </c>
      <c r="C5" s="3" t="s">
        <v>5</v>
      </c>
      <c r="D5" t="str">
        <f t="shared" si="0"/>
        <v>不提供借贷</v>
      </c>
    </row>
    <row r="6" spans="1:4">
      <c r="A6">
        <v>0.0454163345997172</v>
      </c>
      <c r="B6" s="2">
        <v>1250457.38575694</v>
      </c>
      <c r="C6" s="3" t="s">
        <v>6</v>
      </c>
      <c r="D6" t="str">
        <f t="shared" si="0"/>
        <v>C</v>
      </c>
    </row>
    <row r="7" spans="1:4">
      <c r="A7">
        <v>0.041</v>
      </c>
      <c r="B7" s="2">
        <v>36803826.6291584</v>
      </c>
      <c r="C7" s="3" t="s">
        <v>4</v>
      </c>
      <c r="D7" t="str">
        <f t="shared" si="0"/>
        <v>长期</v>
      </c>
    </row>
    <row r="8" spans="1:4">
      <c r="A8">
        <v>0.041</v>
      </c>
      <c r="B8" s="2">
        <v>36803826.6291584</v>
      </c>
      <c r="C8" s="3" t="s">
        <v>4</v>
      </c>
      <c r="D8" t="str">
        <f t="shared" si="0"/>
        <v>长期</v>
      </c>
    </row>
    <row r="9" spans="1:4">
      <c r="A9">
        <v>0.041</v>
      </c>
      <c r="B9" s="2">
        <v>36803826.6291584</v>
      </c>
      <c r="C9" s="3" t="s">
        <v>4</v>
      </c>
      <c r="D9" t="str">
        <f t="shared" si="0"/>
        <v>长期</v>
      </c>
    </row>
    <row r="10" spans="1:4">
      <c r="A10">
        <v>0.041</v>
      </c>
      <c r="B10" s="2">
        <v>36803826.6291584</v>
      </c>
      <c r="C10" s="3" t="s">
        <v>4</v>
      </c>
      <c r="D10" t="str">
        <f t="shared" si="0"/>
        <v>长期</v>
      </c>
    </row>
    <row r="11" spans="1:4">
      <c r="A11">
        <v>0.0459672075102486</v>
      </c>
      <c r="B11" s="2">
        <v>1254635.22252954</v>
      </c>
      <c r="C11" s="3" t="s">
        <v>6</v>
      </c>
      <c r="D11" t="str">
        <f t="shared" si="0"/>
        <v>C</v>
      </c>
    </row>
    <row r="12" spans="1:4">
      <c r="A12">
        <v>0.0448816677370051</v>
      </c>
      <c r="B12" s="2">
        <v>81766297.4608433</v>
      </c>
      <c r="C12" s="3" t="s">
        <v>5</v>
      </c>
      <c r="D12" t="str">
        <f t="shared" si="0"/>
        <v>不提供借贷</v>
      </c>
    </row>
    <row r="13" spans="1:4">
      <c r="A13">
        <v>0.0450609685709156</v>
      </c>
      <c r="B13" s="2">
        <v>1247912.90876274</v>
      </c>
      <c r="C13" s="3" t="s">
        <v>6</v>
      </c>
      <c r="D13" t="str">
        <f t="shared" si="0"/>
        <v>C</v>
      </c>
    </row>
    <row r="14" spans="1:4">
      <c r="A14">
        <v>0.0411391490164942</v>
      </c>
      <c r="B14" s="2">
        <v>36925419.8218414</v>
      </c>
      <c r="C14" s="3" t="s">
        <v>4</v>
      </c>
      <c r="D14" t="str">
        <f t="shared" si="0"/>
        <v>长期</v>
      </c>
    </row>
    <row r="15" spans="1:4">
      <c r="A15">
        <v>0.0438308772090151</v>
      </c>
      <c r="B15" s="2">
        <v>79871354.0104131</v>
      </c>
      <c r="C15" s="3" t="s">
        <v>5</v>
      </c>
      <c r="D15" t="str">
        <f t="shared" si="0"/>
        <v>不提供借贷</v>
      </c>
    </row>
    <row r="16" spans="1:4">
      <c r="A16">
        <v>0.041</v>
      </c>
      <c r="B16" s="2">
        <v>36803826.6291584</v>
      </c>
      <c r="C16" s="3" t="s">
        <v>4</v>
      </c>
      <c r="D16" t="str">
        <f t="shared" si="0"/>
        <v>长期</v>
      </c>
    </row>
    <row r="17" spans="1:4">
      <c r="A17">
        <v>0.041</v>
      </c>
      <c r="B17" s="2">
        <v>36803826.6291584</v>
      </c>
      <c r="C17" s="3" t="s">
        <v>4</v>
      </c>
      <c r="D17" t="str">
        <f t="shared" si="0"/>
        <v>长期</v>
      </c>
    </row>
    <row r="18" spans="1:4">
      <c r="A18">
        <v>0.0410872497197867</v>
      </c>
      <c r="B18" s="2">
        <v>36880065.7538381</v>
      </c>
      <c r="C18" s="3" t="s">
        <v>4</v>
      </c>
      <c r="D18" t="str">
        <f t="shared" si="0"/>
        <v>长期</v>
      </c>
    </row>
    <row r="19" spans="1:4">
      <c r="A19">
        <v>0.041</v>
      </c>
      <c r="B19" s="2">
        <v>36803826.6291584</v>
      </c>
      <c r="C19" s="3" t="s">
        <v>4</v>
      </c>
      <c r="D19" t="str">
        <f t="shared" si="0"/>
        <v>长期</v>
      </c>
    </row>
    <row r="20" spans="1:4">
      <c r="A20">
        <v>0.0413334563779923</v>
      </c>
      <c r="B20" s="2">
        <v>37095250.3760505</v>
      </c>
      <c r="C20" s="3" t="s">
        <v>4</v>
      </c>
      <c r="D20" t="str">
        <f t="shared" si="0"/>
        <v>长期</v>
      </c>
    </row>
    <row r="21" spans="1:4">
      <c r="A21">
        <v>0.0454243174014268</v>
      </c>
      <c r="B21" s="2">
        <v>1250515.91675455</v>
      </c>
      <c r="C21" s="3" t="s">
        <v>6</v>
      </c>
      <c r="D21" t="str">
        <f t="shared" si="0"/>
        <v>C</v>
      </c>
    </row>
    <row r="22" spans="1:4">
      <c r="A22">
        <v>0.0458852717806078</v>
      </c>
      <c r="B22" s="2">
        <v>1253996.17101004</v>
      </c>
      <c r="C22" s="3" t="s">
        <v>6</v>
      </c>
      <c r="D22" t="str">
        <f t="shared" si="0"/>
        <v>C</v>
      </c>
    </row>
    <row r="23" spans="1:4">
      <c r="A23">
        <v>0.0410810036050705</v>
      </c>
      <c r="B23" s="2">
        <v>36874607.5761694</v>
      </c>
      <c r="C23" s="3" t="s">
        <v>4</v>
      </c>
      <c r="D23" t="str">
        <f t="shared" si="0"/>
        <v>长期</v>
      </c>
    </row>
    <row r="24" spans="1:4">
      <c r="A24">
        <v>0.0455132832146231</v>
      </c>
      <c r="B24" s="2">
        <v>1251172.26814253</v>
      </c>
      <c r="C24" s="3" t="s">
        <v>6</v>
      </c>
      <c r="D24" t="str">
        <f t="shared" si="0"/>
        <v>C</v>
      </c>
    </row>
    <row r="25" spans="1:4">
      <c r="A25">
        <v>0.041035467488011</v>
      </c>
      <c r="B25" s="2">
        <v>36834817.16078</v>
      </c>
      <c r="C25" s="3" t="s">
        <v>4</v>
      </c>
      <c r="D25" t="str">
        <f t="shared" si="0"/>
        <v>长期</v>
      </c>
    </row>
    <row r="26" spans="1:4">
      <c r="A26">
        <v>0.0446186042302446</v>
      </c>
      <c r="B26" s="2">
        <v>81291805.0023799</v>
      </c>
      <c r="C26" s="3" t="s">
        <v>5</v>
      </c>
      <c r="D26" t="str">
        <f t="shared" si="0"/>
        <v>不提供借贷</v>
      </c>
    </row>
    <row r="27" spans="1:4">
      <c r="A27">
        <v>0.041195141674478</v>
      </c>
      <c r="B27" s="2">
        <v>36974354.5779901</v>
      </c>
      <c r="C27" s="3" t="s">
        <v>4</v>
      </c>
      <c r="D27" t="str">
        <f t="shared" si="0"/>
        <v>长期</v>
      </c>
    </row>
    <row r="28" spans="1:4">
      <c r="A28">
        <v>0.0411651513351095</v>
      </c>
      <c r="B28" s="2">
        <v>36948144.0772229</v>
      </c>
      <c r="C28" s="3" t="s">
        <v>4</v>
      </c>
      <c r="D28" t="str">
        <f t="shared" si="0"/>
        <v>长期</v>
      </c>
    </row>
    <row r="29" spans="1:4">
      <c r="A29">
        <v>0.0457669004366783</v>
      </c>
      <c r="B29" s="2">
        <v>1253083.7501101</v>
      </c>
      <c r="C29" s="3" t="s">
        <v>6</v>
      </c>
      <c r="D29" t="str">
        <f t="shared" si="0"/>
        <v>C</v>
      </c>
    </row>
    <row r="30" spans="1:4">
      <c r="A30">
        <v>0.045149636643653</v>
      </c>
      <c r="B30" s="2">
        <v>82249702.407078</v>
      </c>
      <c r="C30" s="3" t="s">
        <v>5</v>
      </c>
      <c r="D30" t="str">
        <f t="shared" si="0"/>
        <v>不提供借贷</v>
      </c>
    </row>
    <row r="31" spans="1:4">
      <c r="A31">
        <v>0.0457418757404876</v>
      </c>
      <c r="B31" s="2">
        <v>1252892.50035917</v>
      </c>
      <c r="C31" s="3" t="s">
        <v>6</v>
      </c>
      <c r="D31" t="str">
        <f t="shared" si="0"/>
        <v>C</v>
      </c>
    </row>
    <row r="32" spans="1:4">
      <c r="A32">
        <v>0.0411380964347838</v>
      </c>
      <c r="B32" s="2">
        <v>36924499.95388</v>
      </c>
      <c r="C32" s="3" t="s">
        <v>4</v>
      </c>
      <c r="D32" t="str">
        <f t="shared" si="0"/>
        <v>长期</v>
      </c>
    </row>
    <row r="33" spans="1:4">
      <c r="A33">
        <v>0.0459453005950929</v>
      </c>
      <c r="B33" s="2">
        <v>1254463.76412538</v>
      </c>
      <c r="C33" s="3" t="s">
        <v>6</v>
      </c>
      <c r="D33" t="str">
        <f t="shared" si="0"/>
        <v>C</v>
      </c>
    </row>
    <row r="34" spans="1:4">
      <c r="A34">
        <v>0.0459845972710253</v>
      </c>
      <c r="B34" s="2">
        <v>1254771.63621371</v>
      </c>
      <c r="C34" s="3" t="s">
        <v>6</v>
      </c>
      <c r="D34" t="str">
        <f t="shared" si="0"/>
        <v>C</v>
      </c>
    </row>
    <row r="35" spans="1:4">
      <c r="A35">
        <v>0.0459490222499201</v>
      </c>
      <c r="B35" s="2">
        <v>1254492.86163881</v>
      </c>
      <c r="C35" s="3" t="s">
        <v>6</v>
      </c>
      <c r="D35" t="str">
        <f t="shared" ref="D35:D66" si="1">_xlfn.SWITCH(C35,"A","长期","B","C","短期","D","不提供借贷")</f>
        <v>C</v>
      </c>
    </row>
    <row r="36" spans="1:4">
      <c r="A36">
        <v>0.0459162153065308</v>
      </c>
      <c r="B36" s="2">
        <v>1254236.7958303</v>
      </c>
      <c r="C36" s="3" t="s">
        <v>6</v>
      </c>
      <c r="D36" t="str">
        <f t="shared" si="1"/>
        <v>C</v>
      </c>
    </row>
    <row r="37" spans="1:4">
      <c r="A37">
        <v>0</v>
      </c>
      <c r="B37" s="2">
        <v>0</v>
      </c>
      <c r="C37" s="3" t="s">
        <v>7</v>
      </c>
      <c r="D37" t="str">
        <f t="shared" si="1"/>
        <v>不提供借贷</v>
      </c>
    </row>
    <row r="38" spans="1:4">
      <c r="A38">
        <v>0.0458486678979021</v>
      </c>
      <c r="B38" s="2">
        <v>1253712.65601671</v>
      </c>
      <c r="C38" s="3" t="s">
        <v>6</v>
      </c>
      <c r="D38" t="str">
        <f t="shared" si="1"/>
        <v>C</v>
      </c>
    </row>
    <row r="39" spans="1:4">
      <c r="A39">
        <v>0.0459533858838012</v>
      </c>
      <c r="B39" s="2">
        <v>1254526.99442478</v>
      </c>
      <c r="C39" s="3" t="s">
        <v>6</v>
      </c>
      <c r="D39" t="str">
        <f t="shared" si="1"/>
        <v>C</v>
      </c>
    </row>
    <row r="40" spans="1:4">
      <c r="A40">
        <v>0.0446567474140824</v>
      </c>
      <c r="B40" s="2">
        <v>81360600.6273874</v>
      </c>
      <c r="C40" s="3" t="s">
        <v>5</v>
      </c>
      <c r="D40" t="str">
        <f t="shared" si="1"/>
        <v>不提供借贷</v>
      </c>
    </row>
    <row r="41" spans="1:4">
      <c r="A41">
        <v>0.0450108276674756</v>
      </c>
      <c r="B41" s="2">
        <v>81999288.6329368</v>
      </c>
      <c r="C41" s="3" t="s">
        <v>5</v>
      </c>
      <c r="D41" t="str">
        <f t="shared" si="1"/>
        <v>不提供借贷</v>
      </c>
    </row>
    <row r="42" spans="1:4">
      <c r="A42">
        <v>0.0449952853610765</v>
      </c>
      <c r="B42" s="2">
        <v>81971251.1212323</v>
      </c>
      <c r="C42" s="3" t="s">
        <v>5</v>
      </c>
      <c r="D42" t="str">
        <f t="shared" si="1"/>
        <v>不提供借贷</v>
      </c>
    </row>
    <row r="43" spans="1:4">
      <c r="A43">
        <v>0.041</v>
      </c>
      <c r="B43" s="2">
        <v>36803826.6291584</v>
      </c>
      <c r="C43" s="4" t="s">
        <v>4</v>
      </c>
      <c r="D43" t="str">
        <f t="shared" si="1"/>
        <v>长期</v>
      </c>
    </row>
    <row r="44" spans="1:4">
      <c r="A44">
        <v>0.0458748635127672</v>
      </c>
      <c r="B44" s="2">
        <v>1253915.42957563</v>
      </c>
      <c r="C44" s="3" t="s">
        <v>6</v>
      </c>
      <c r="D44" t="str">
        <f t="shared" si="1"/>
        <v>C</v>
      </c>
    </row>
    <row r="45" spans="1:4">
      <c r="A45">
        <v>0.0447537454139377</v>
      </c>
      <c r="B45" s="2">
        <v>81535553.71841</v>
      </c>
      <c r="C45" s="3" t="s">
        <v>5</v>
      </c>
      <c r="D45" t="str">
        <f t="shared" si="1"/>
        <v>不提供借贷</v>
      </c>
    </row>
    <row r="46" spans="1:4">
      <c r="A46">
        <v>0.045854534750657</v>
      </c>
      <c r="B46" s="2">
        <v>1253758.0154135</v>
      </c>
      <c r="C46" s="3" t="s">
        <v>6</v>
      </c>
      <c r="D46" t="str">
        <f t="shared" si="1"/>
        <v>C</v>
      </c>
    </row>
    <row r="47" spans="1:4">
      <c r="A47">
        <v>0.0450406432648425</v>
      </c>
      <c r="B47" s="2">
        <v>82053075.0264088</v>
      </c>
      <c r="C47" s="3" t="s">
        <v>5</v>
      </c>
      <c r="D47" t="str">
        <f t="shared" si="1"/>
        <v>不提供借贷</v>
      </c>
    </row>
    <row r="48" spans="1:4">
      <c r="A48">
        <v>0.0446451553669537</v>
      </c>
      <c r="B48" s="2">
        <v>81339692.8934764</v>
      </c>
      <c r="C48" s="3" t="s">
        <v>5</v>
      </c>
      <c r="D48" t="str">
        <f t="shared" si="1"/>
        <v>不提供借贷</v>
      </c>
    </row>
    <row r="49" spans="1:4">
      <c r="A49">
        <v>0.041144248360925</v>
      </c>
      <c r="B49" s="2">
        <v>36929876.2388229</v>
      </c>
      <c r="C49" s="3" t="s">
        <v>4</v>
      </c>
      <c r="D49" t="str">
        <f t="shared" si="1"/>
        <v>长期</v>
      </c>
    </row>
    <row r="50" spans="1:4">
      <c r="A50">
        <v>0.0449500617914795</v>
      </c>
      <c r="B50" s="2">
        <v>81889671.3933871</v>
      </c>
      <c r="C50" s="3" t="s">
        <v>5</v>
      </c>
      <c r="D50" t="str">
        <f t="shared" si="1"/>
        <v>不提供借贷</v>
      </c>
    </row>
    <row r="51" spans="1:4">
      <c r="A51">
        <v>0.044945467822844</v>
      </c>
      <c r="B51" s="2">
        <v>81881384.3420486</v>
      </c>
      <c r="C51" s="3" t="s">
        <v>5</v>
      </c>
      <c r="D51" t="str">
        <f t="shared" si="1"/>
        <v>不提供借贷</v>
      </c>
    </row>
    <row r="52" spans="1:4">
      <c r="A52">
        <v>0.0459179096267371</v>
      </c>
      <c r="B52" s="2">
        <v>1254249.99645082</v>
      </c>
      <c r="C52" s="3" t="s">
        <v>6</v>
      </c>
      <c r="D52" t="str">
        <f t="shared" si="1"/>
        <v>C</v>
      </c>
    </row>
    <row r="53" spans="1:4">
      <c r="A53">
        <v>0</v>
      </c>
      <c r="B53" s="2">
        <v>0</v>
      </c>
      <c r="C53" s="3" t="s">
        <v>7</v>
      </c>
      <c r="D53" t="str">
        <f t="shared" si="1"/>
        <v>不提供借贷</v>
      </c>
    </row>
    <row r="54" spans="1:4">
      <c r="A54">
        <v>0.0450038672975707</v>
      </c>
      <c r="B54" s="2">
        <v>81986732.4610736</v>
      </c>
      <c r="C54" s="3" t="s">
        <v>5</v>
      </c>
      <c r="D54" t="str">
        <f t="shared" si="1"/>
        <v>不提供借贷</v>
      </c>
    </row>
    <row r="55" spans="1:4">
      <c r="A55">
        <v>0.0411322420090099</v>
      </c>
      <c r="B55" s="2">
        <v>36919383.7015455</v>
      </c>
      <c r="C55" s="3" t="s">
        <v>4</v>
      </c>
      <c r="D55" t="str">
        <f t="shared" si="1"/>
        <v>长期</v>
      </c>
    </row>
    <row r="56" spans="1:4">
      <c r="A56">
        <v>0.0448315471890917</v>
      </c>
      <c r="B56" s="2">
        <v>81675889.2377906</v>
      </c>
      <c r="C56" s="3" t="s">
        <v>5</v>
      </c>
      <c r="D56" t="str">
        <f t="shared" si="1"/>
        <v>不提供借贷</v>
      </c>
    </row>
    <row r="57" spans="1:4">
      <c r="A57">
        <v>0.0447723238931991</v>
      </c>
      <c r="B57" s="2">
        <v>81569064.2836946</v>
      </c>
      <c r="C57" s="3" t="s">
        <v>5</v>
      </c>
      <c r="D57" t="str">
        <f t="shared" si="1"/>
        <v>不提供借贷</v>
      </c>
    </row>
    <row r="58" spans="1:4">
      <c r="A58">
        <v>0.0458375840052901</v>
      </c>
      <c r="B58" s="2">
        <v>1253627.0470155</v>
      </c>
      <c r="C58" s="3" t="s">
        <v>6</v>
      </c>
      <c r="D58" t="str">
        <f t="shared" si="1"/>
        <v>C</v>
      </c>
    </row>
    <row r="59" spans="1:4">
      <c r="A59">
        <v>0.045916085646519</v>
      </c>
      <c r="B59" s="2">
        <v>1254235.78574349</v>
      </c>
      <c r="C59" s="3" t="s">
        <v>6</v>
      </c>
      <c r="D59" t="str">
        <f t="shared" si="1"/>
        <v>C</v>
      </c>
    </row>
    <row r="60" spans="1:4">
      <c r="A60">
        <v>0.0411740440842617</v>
      </c>
      <c r="B60" s="2">
        <v>36955915.916736</v>
      </c>
      <c r="C60" s="3" t="s">
        <v>4</v>
      </c>
      <c r="D60" t="str">
        <f t="shared" si="1"/>
        <v>长期</v>
      </c>
    </row>
    <row r="61" spans="1:4">
      <c r="A61">
        <v>0.0459556211934587</v>
      </c>
      <c r="B61" s="2">
        <v>1254544.48593176</v>
      </c>
      <c r="C61" s="3" t="s">
        <v>6</v>
      </c>
      <c r="D61" t="str">
        <f t="shared" si="1"/>
        <v>C</v>
      </c>
    </row>
    <row r="62" spans="1:4">
      <c r="A62">
        <v>0.0458977863516419</v>
      </c>
      <c r="B62" s="2">
        <v>1254093.38259546</v>
      </c>
      <c r="C62" s="3" t="s">
        <v>6</v>
      </c>
      <c r="D62" t="str">
        <f t="shared" si="1"/>
        <v>C</v>
      </c>
    </row>
    <row r="63" spans="1:4">
      <c r="A63">
        <v>0.0459309631359906</v>
      </c>
      <c r="B63" s="2">
        <v>1254351.78513392</v>
      </c>
      <c r="C63" s="3" t="s">
        <v>6</v>
      </c>
      <c r="D63" t="str">
        <f t="shared" si="1"/>
        <v>C</v>
      </c>
    </row>
    <row r="64" spans="1:4">
      <c r="A64">
        <v>0.0456414831149733</v>
      </c>
      <c r="B64" s="2">
        <v>1252131.05380955</v>
      </c>
      <c r="C64" s="3" t="s">
        <v>6</v>
      </c>
      <c r="D64" t="str">
        <f t="shared" si="1"/>
        <v>C</v>
      </c>
    </row>
    <row r="65" spans="1:4">
      <c r="A65">
        <v>0.0411311494669937</v>
      </c>
      <c r="B65" s="2">
        <v>36918428.9205506</v>
      </c>
      <c r="C65" s="3" t="s">
        <v>4</v>
      </c>
      <c r="D65" t="str">
        <f t="shared" si="1"/>
        <v>长期</v>
      </c>
    </row>
    <row r="66" spans="1:4">
      <c r="A66">
        <v>0.0459349336071033</v>
      </c>
      <c r="B66" s="2">
        <v>1254382.77678133</v>
      </c>
      <c r="C66" s="3" t="s">
        <v>6</v>
      </c>
      <c r="D66" t="str">
        <f t="shared" si="1"/>
        <v>C</v>
      </c>
    </row>
    <row r="67" spans="1:4">
      <c r="A67">
        <v>0.0459490014247094</v>
      </c>
      <c r="B67" s="2">
        <v>1254492.69878331</v>
      </c>
      <c r="C67" s="3" t="s">
        <v>6</v>
      </c>
      <c r="D67" t="str">
        <f t="shared" ref="D67:D98" si="2">_xlfn.SWITCH(C67,"A","长期","B","C","短期","D","不提供借贷")</f>
        <v>C</v>
      </c>
    </row>
    <row r="68" spans="1:4">
      <c r="A68">
        <v>0.0459452290141089</v>
      </c>
      <c r="B68" s="2">
        <v>1254463.20459733</v>
      </c>
      <c r="C68" s="3" t="s">
        <v>6</v>
      </c>
      <c r="D68" t="str">
        <f t="shared" si="2"/>
        <v>C</v>
      </c>
    </row>
    <row r="69" spans="1:4">
      <c r="A69">
        <v>0.0449434243185993</v>
      </c>
      <c r="B69" s="2">
        <v>81877698.0747286</v>
      </c>
      <c r="C69" s="3" t="s">
        <v>5</v>
      </c>
      <c r="D69" t="str">
        <f t="shared" si="2"/>
        <v>不提供借贷</v>
      </c>
    </row>
    <row r="70" spans="1:4">
      <c r="A70">
        <v>0.0448870999552445</v>
      </c>
      <c r="B70" s="2">
        <v>81776096.3174956</v>
      </c>
      <c r="C70" s="3" t="s">
        <v>5</v>
      </c>
      <c r="D70" t="str">
        <f t="shared" si="2"/>
        <v>不提供借贷</v>
      </c>
    </row>
    <row r="71" spans="1:4">
      <c r="A71">
        <v>0.0459126620917579</v>
      </c>
      <c r="B71" s="2">
        <v>1254209.12084893</v>
      </c>
      <c r="C71" s="3" t="s">
        <v>6</v>
      </c>
      <c r="D71" t="str">
        <f t="shared" si="2"/>
        <v>C</v>
      </c>
    </row>
    <row r="72" spans="1:4">
      <c r="A72">
        <v>0.0459906579845391</v>
      </c>
      <c r="B72" s="2">
        <v>1254819.243706</v>
      </c>
      <c r="C72" s="3" t="s">
        <v>6</v>
      </c>
      <c r="D72" t="str">
        <f t="shared" si="2"/>
        <v>C</v>
      </c>
    </row>
    <row r="73" spans="1:4">
      <c r="A73">
        <v>0.0449056376096009</v>
      </c>
      <c r="B73" s="2">
        <v>81809535.4953106</v>
      </c>
      <c r="C73" s="3" t="s">
        <v>5</v>
      </c>
      <c r="D73" t="str">
        <f t="shared" si="2"/>
        <v>不提供借贷</v>
      </c>
    </row>
    <row r="74" spans="1:4">
      <c r="A74">
        <v>0.0448216390162468</v>
      </c>
      <c r="B74" s="2">
        <v>81658016.9920622</v>
      </c>
      <c r="C74" s="3" t="s">
        <v>5</v>
      </c>
      <c r="D74" t="str">
        <f t="shared" si="2"/>
        <v>不提供借贷</v>
      </c>
    </row>
    <row r="75" spans="1:4">
      <c r="A75">
        <v>0.0459517552667664</v>
      </c>
      <c r="B75" s="2">
        <v>1254514.23755233</v>
      </c>
      <c r="C75" s="3" t="s">
        <v>6</v>
      </c>
      <c r="D75" t="str">
        <f t="shared" si="2"/>
        <v>C</v>
      </c>
    </row>
    <row r="76" spans="1:4">
      <c r="A76">
        <v>0.0448921825764978</v>
      </c>
      <c r="B76" s="2">
        <v>81785264.581084</v>
      </c>
      <c r="C76" s="3" t="s">
        <v>5</v>
      </c>
      <c r="D76" t="str">
        <f t="shared" si="2"/>
        <v>不提供借贷</v>
      </c>
    </row>
    <row r="77" spans="1:4">
      <c r="A77">
        <v>0.0459398826602682</v>
      </c>
      <c r="B77" s="2">
        <v>1254421.42682335</v>
      </c>
      <c r="C77" s="3" t="s">
        <v>6</v>
      </c>
      <c r="D77" t="str">
        <f t="shared" si="2"/>
        <v>C</v>
      </c>
    </row>
    <row r="78" spans="1:4">
      <c r="A78">
        <v>0.0448855907837463</v>
      </c>
      <c r="B78" s="2">
        <v>81773374.0097559</v>
      </c>
      <c r="C78" s="3" t="s">
        <v>5</v>
      </c>
      <c r="D78" t="str">
        <f t="shared" si="2"/>
        <v>不提供借贷</v>
      </c>
    </row>
    <row r="79" spans="1:4">
      <c r="A79">
        <v>0.0448687124838468</v>
      </c>
      <c r="B79" s="2">
        <v>81742928.3552489</v>
      </c>
      <c r="C79" s="3" t="s">
        <v>5</v>
      </c>
      <c r="D79" t="str">
        <f t="shared" si="2"/>
        <v>不提供借贷</v>
      </c>
    </row>
    <row r="80" spans="1:4">
      <c r="A80">
        <v>0.0459434304471783</v>
      </c>
      <c r="B80" s="2">
        <v>1254449.14724089</v>
      </c>
      <c r="C80" s="3" t="s">
        <v>6</v>
      </c>
      <c r="D80" t="str">
        <f t="shared" si="2"/>
        <v>C</v>
      </c>
    </row>
    <row r="81" spans="1:4">
      <c r="A81">
        <v>0.0449033767168439</v>
      </c>
      <c r="B81" s="2">
        <v>81805457.1635817</v>
      </c>
      <c r="C81" s="3" t="s">
        <v>5</v>
      </c>
      <c r="D81" t="str">
        <f t="shared" si="2"/>
        <v>不提供借贷</v>
      </c>
    </row>
    <row r="82" spans="1:4">
      <c r="A82">
        <v>0.0411619901721452</v>
      </c>
      <c r="B82" s="2">
        <v>36945381.3936389</v>
      </c>
      <c r="C82" s="3" t="s">
        <v>4</v>
      </c>
      <c r="D82" t="str">
        <f t="shared" si="2"/>
        <v>长期</v>
      </c>
    </row>
    <row r="83" spans="1:4">
      <c r="A83">
        <v>0</v>
      </c>
      <c r="B83" s="2">
        <v>0</v>
      </c>
      <c r="C83" s="3" t="s">
        <v>7</v>
      </c>
      <c r="D83" t="str">
        <f t="shared" si="2"/>
        <v>不提供借贷</v>
      </c>
    </row>
    <row r="84" spans="1:4">
      <c r="A84">
        <v>0.0460208199486398</v>
      </c>
      <c r="B84" s="2">
        <v>1255056.66277836</v>
      </c>
      <c r="C84" s="3" t="s">
        <v>6</v>
      </c>
      <c r="D84" t="str">
        <f t="shared" si="2"/>
        <v>C</v>
      </c>
    </row>
    <row r="85" spans="1:4">
      <c r="A85">
        <v>0.0411620653830916</v>
      </c>
      <c r="B85" s="2">
        <v>36945447.1237573</v>
      </c>
      <c r="C85" s="3" t="s">
        <v>4</v>
      </c>
      <c r="D85" t="str">
        <f t="shared" si="2"/>
        <v>长期</v>
      </c>
    </row>
    <row r="86" spans="1:4">
      <c r="A86">
        <v>0.0459443570105927</v>
      </c>
      <c r="B86" s="2">
        <v>1254456.38876895</v>
      </c>
      <c r="C86" s="3" t="s">
        <v>6</v>
      </c>
      <c r="D86" t="str">
        <f t="shared" si="2"/>
        <v>C</v>
      </c>
    </row>
    <row r="87" spans="1:4">
      <c r="A87">
        <v>0.0448898618480561</v>
      </c>
      <c r="B87" s="2">
        <v>81781078.3425711</v>
      </c>
      <c r="C87" s="3" t="s">
        <v>5</v>
      </c>
      <c r="D87" t="str">
        <f t="shared" si="2"/>
        <v>不提供借贷</v>
      </c>
    </row>
    <row r="88" spans="1:4">
      <c r="A88">
        <v>0.044851080874129</v>
      </c>
      <c r="B88" s="2">
        <v>81711124.1309149</v>
      </c>
      <c r="C88" s="3" t="s">
        <v>5</v>
      </c>
      <c r="D88" t="str">
        <f t="shared" si="2"/>
        <v>不提供借贷</v>
      </c>
    </row>
    <row r="89" spans="1:4">
      <c r="A89">
        <v>0.041156911878932</v>
      </c>
      <c r="B89" s="2">
        <v>36940943.2676424</v>
      </c>
      <c r="C89" s="3" t="s">
        <v>4</v>
      </c>
      <c r="D89" t="str">
        <f t="shared" si="2"/>
        <v>长期</v>
      </c>
    </row>
    <row r="90" spans="1:4">
      <c r="A90">
        <v>0.0411691766209962</v>
      </c>
      <c r="B90" s="2">
        <v>36951661.9739942</v>
      </c>
      <c r="C90" s="3" t="s">
        <v>4</v>
      </c>
      <c r="D90" t="str">
        <f t="shared" si="2"/>
        <v>长期</v>
      </c>
    </row>
    <row r="91" spans="1:4">
      <c r="A91">
        <v>0.0448700756098859</v>
      </c>
      <c r="B91" s="2">
        <v>81745387.1990144</v>
      </c>
      <c r="C91" s="3" t="s">
        <v>5</v>
      </c>
      <c r="D91" t="str">
        <f t="shared" si="2"/>
        <v>不提供借贷</v>
      </c>
    </row>
    <row r="92" spans="1:4">
      <c r="A92">
        <v>0.0411613900647574</v>
      </c>
      <c r="B92" s="2">
        <v>36944856.9339217</v>
      </c>
      <c r="C92" s="3" t="s">
        <v>4</v>
      </c>
      <c r="D92" t="str">
        <f t="shared" si="2"/>
        <v>长期</v>
      </c>
    </row>
    <row r="93" spans="1:4">
      <c r="A93">
        <v>0.0448864415015256</v>
      </c>
      <c r="B93" s="2">
        <v>81774908.5704168</v>
      </c>
      <c r="C93" s="3" t="s">
        <v>5</v>
      </c>
      <c r="D93" t="str">
        <f t="shared" si="2"/>
        <v>不提供借贷</v>
      </c>
    </row>
    <row r="94" spans="1:4">
      <c r="A94">
        <v>0.0459442169250856</v>
      </c>
      <c r="B94" s="2">
        <v>1254455.29388496</v>
      </c>
      <c r="C94" s="3" t="s">
        <v>6</v>
      </c>
      <c r="D94" t="str">
        <f t="shared" si="2"/>
        <v>C</v>
      </c>
    </row>
    <row r="95" spans="1:4">
      <c r="A95">
        <v>0.0448701433264115</v>
      </c>
      <c r="B95" s="2">
        <v>81745509.3479662</v>
      </c>
      <c r="C95" s="3" t="s">
        <v>5</v>
      </c>
      <c r="D95" t="str">
        <f t="shared" si="2"/>
        <v>不提供借贷</v>
      </c>
    </row>
    <row r="96" spans="1:4">
      <c r="A96">
        <v>0.0459434002723698</v>
      </c>
      <c r="B96" s="2">
        <v>1254448.91142369</v>
      </c>
      <c r="C96" s="3" t="s">
        <v>6</v>
      </c>
      <c r="D96" t="str">
        <f t="shared" si="2"/>
        <v>C</v>
      </c>
    </row>
    <row r="97" spans="1:4">
      <c r="A97">
        <v>0.0449369979288549</v>
      </c>
      <c r="B97" s="2">
        <v>81866105.566261</v>
      </c>
      <c r="C97" s="3" t="s">
        <v>5</v>
      </c>
      <c r="D97" t="str">
        <f t="shared" si="2"/>
        <v>不提供借贷</v>
      </c>
    </row>
    <row r="98" spans="1:4">
      <c r="A98">
        <v>0.0459435887576339</v>
      </c>
      <c r="B98" s="2">
        <v>1254450.38445623</v>
      </c>
      <c r="C98" s="3" t="s">
        <v>6</v>
      </c>
      <c r="D98" t="str">
        <f t="shared" si="2"/>
        <v>C</v>
      </c>
    </row>
    <row r="99" spans="1:4">
      <c r="A99">
        <v>0.0459442168291369</v>
      </c>
      <c r="B99" s="2">
        <v>1254455.29313505</v>
      </c>
      <c r="C99" s="3" t="s">
        <v>6</v>
      </c>
      <c r="D99" t="str">
        <f t="shared" ref="D99:D124" si="3">_xlfn.SWITCH(C99,"A","长期","B","C","短期","D","不提供借贷")</f>
        <v>C</v>
      </c>
    </row>
    <row r="100" spans="1:4">
      <c r="A100">
        <v>0</v>
      </c>
      <c r="B100" s="2">
        <v>0</v>
      </c>
      <c r="C100" s="3" t="s">
        <v>7</v>
      </c>
      <c r="D100" t="str">
        <f t="shared" si="3"/>
        <v>不提供借贷</v>
      </c>
    </row>
    <row r="101" spans="1:4">
      <c r="A101">
        <v>0</v>
      </c>
      <c r="B101" s="2">
        <v>0</v>
      </c>
      <c r="C101" s="3" t="s">
        <v>7</v>
      </c>
      <c r="D101" t="str">
        <f t="shared" si="3"/>
        <v>不提供借贷</v>
      </c>
    </row>
    <row r="102" spans="1:4">
      <c r="A102">
        <v>0</v>
      </c>
      <c r="B102" s="2">
        <v>0</v>
      </c>
      <c r="C102" s="3" t="s">
        <v>7</v>
      </c>
      <c r="D102" t="str">
        <f t="shared" si="3"/>
        <v>不提供借贷</v>
      </c>
    </row>
    <row r="103" spans="1:4">
      <c r="A103">
        <v>0</v>
      </c>
      <c r="B103" s="2">
        <v>0</v>
      </c>
      <c r="C103" s="3" t="s">
        <v>7</v>
      </c>
      <c r="D103" t="str">
        <f t="shared" si="3"/>
        <v>不提供借贷</v>
      </c>
    </row>
    <row r="104" spans="1:4">
      <c r="A104">
        <v>0</v>
      </c>
      <c r="B104" s="2">
        <v>0</v>
      </c>
      <c r="C104" s="3" t="s">
        <v>7</v>
      </c>
      <c r="D104" t="str">
        <f t="shared" si="3"/>
        <v>不提供借贷</v>
      </c>
    </row>
    <row r="105" spans="1:4">
      <c r="A105">
        <v>0.0448675486381381</v>
      </c>
      <c r="B105" s="2">
        <v>81740828.9800898</v>
      </c>
      <c r="C105" s="3" t="s">
        <v>5</v>
      </c>
      <c r="D105" t="str">
        <f t="shared" si="3"/>
        <v>不提供借贷</v>
      </c>
    </row>
    <row r="106" spans="1:4">
      <c r="A106">
        <v>0.0448693181219137</v>
      </c>
      <c r="B106" s="2">
        <v>81744020.821432</v>
      </c>
      <c r="C106" s="3" t="s">
        <v>5</v>
      </c>
      <c r="D106" t="str">
        <f t="shared" si="3"/>
        <v>不提供借贷</v>
      </c>
    </row>
    <row r="107" spans="1:4">
      <c r="A107">
        <v>0.0459437634281025</v>
      </c>
      <c r="B107" s="2">
        <v>1254451.74955345</v>
      </c>
      <c r="C107" s="3" t="s">
        <v>6</v>
      </c>
      <c r="D107" t="str">
        <f t="shared" si="3"/>
        <v>C</v>
      </c>
    </row>
    <row r="108" spans="1:4">
      <c r="A108">
        <v>0</v>
      </c>
      <c r="B108">
        <v>0</v>
      </c>
      <c r="C108" s="3" t="s">
        <v>7</v>
      </c>
      <c r="D108" t="str">
        <f t="shared" si="3"/>
        <v>不提供借贷</v>
      </c>
    </row>
    <row r="109" spans="1:4">
      <c r="A109">
        <v>0</v>
      </c>
      <c r="B109">
        <v>0</v>
      </c>
      <c r="C109" s="3" t="s">
        <v>7</v>
      </c>
      <c r="D109" t="str">
        <f t="shared" si="3"/>
        <v>不提供借贷</v>
      </c>
    </row>
    <row r="110" spans="1:4">
      <c r="A110">
        <v>0</v>
      </c>
      <c r="B110">
        <v>0</v>
      </c>
      <c r="C110" s="3" t="s">
        <v>7</v>
      </c>
      <c r="D110" t="str">
        <f t="shared" si="3"/>
        <v>不提供借贷</v>
      </c>
    </row>
    <row r="111" spans="1:4">
      <c r="A111">
        <v>0.0448655917477846</v>
      </c>
      <c r="B111">
        <v>81737299.0931469</v>
      </c>
      <c r="C111" s="3" t="s">
        <v>5</v>
      </c>
      <c r="D111" t="str">
        <f t="shared" si="3"/>
        <v>不提供借贷</v>
      </c>
    </row>
    <row r="112" spans="1:4">
      <c r="A112">
        <v>0</v>
      </c>
      <c r="B112">
        <v>0</v>
      </c>
      <c r="C112" s="3" t="s">
        <v>7</v>
      </c>
      <c r="D112" t="str">
        <f t="shared" si="3"/>
        <v>不提供借贷</v>
      </c>
    </row>
    <row r="113" spans="1:4">
      <c r="A113">
        <v>0</v>
      </c>
      <c r="B113">
        <v>0</v>
      </c>
      <c r="C113" s="3" t="s">
        <v>7</v>
      </c>
      <c r="D113" t="str">
        <f t="shared" si="3"/>
        <v>不提供借贷</v>
      </c>
    </row>
    <row r="114" spans="1:4">
      <c r="A114">
        <v>0</v>
      </c>
      <c r="B114">
        <v>0</v>
      </c>
      <c r="C114" s="3" t="s">
        <v>7</v>
      </c>
      <c r="D114" t="str">
        <f t="shared" si="3"/>
        <v>不提供借贷</v>
      </c>
    </row>
    <row r="115" spans="1:4">
      <c r="A115">
        <v>0</v>
      </c>
      <c r="B115">
        <v>0</v>
      </c>
      <c r="C115" s="3" t="s">
        <v>7</v>
      </c>
      <c r="D115" t="str">
        <f t="shared" si="3"/>
        <v>不提供借贷</v>
      </c>
    </row>
    <row r="116" spans="1:4">
      <c r="A116">
        <v>0</v>
      </c>
      <c r="B116">
        <v>0</v>
      </c>
      <c r="C116" s="3" t="s">
        <v>7</v>
      </c>
      <c r="D116" t="str">
        <f t="shared" si="3"/>
        <v>不提供借贷</v>
      </c>
    </row>
    <row r="117" spans="1:4">
      <c r="A117">
        <v>0</v>
      </c>
      <c r="B117">
        <v>0</v>
      </c>
      <c r="C117" s="3" t="s">
        <v>7</v>
      </c>
      <c r="D117" t="str">
        <f t="shared" si="3"/>
        <v>不提供借贷</v>
      </c>
    </row>
    <row r="118" spans="1:4">
      <c r="A118">
        <v>0</v>
      </c>
      <c r="B118">
        <v>0</v>
      </c>
      <c r="C118" s="3" t="s">
        <v>7</v>
      </c>
      <c r="D118" t="str">
        <f t="shared" si="3"/>
        <v>不提供借贷</v>
      </c>
    </row>
    <row r="119" spans="1:4">
      <c r="A119">
        <v>0</v>
      </c>
      <c r="B119">
        <v>0</v>
      </c>
      <c r="C119" s="3" t="s">
        <v>7</v>
      </c>
      <c r="D119" t="str">
        <f t="shared" si="3"/>
        <v>不提供借贷</v>
      </c>
    </row>
    <row r="120" spans="1:4">
      <c r="A120">
        <v>0</v>
      </c>
      <c r="B120">
        <v>0</v>
      </c>
      <c r="C120" s="3" t="s">
        <v>7</v>
      </c>
      <c r="D120" t="str">
        <f t="shared" si="3"/>
        <v>不提供借贷</v>
      </c>
    </row>
    <row r="121" spans="1:4">
      <c r="A121">
        <v>0</v>
      </c>
      <c r="B121">
        <v>0</v>
      </c>
      <c r="C121" s="3" t="s">
        <v>7</v>
      </c>
      <c r="D121" t="str">
        <f t="shared" si="3"/>
        <v>不提供借贷</v>
      </c>
    </row>
    <row r="122" spans="1:4">
      <c r="A122">
        <v>0</v>
      </c>
      <c r="B122">
        <v>0</v>
      </c>
      <c r="C122" s="3" t="s">
        <v>7</v>
      </c>
      <c r="D122" t="str">
        <f t="shared" si="3"/>
        <v>不提供借贷</v>
      </c>
    </row>
    <row r="123" spans="1:4">
      <c r="A123">
        <v>0</v>
      </c>
      <c r="B123">
        <v>0</v>
      </c>
      <c r="C123" s="3" t="s">
        <v>7</v>
      </c>
      <c r="D123" t="str">
        <f t="shared" si="3"/>
        <v>不提供借贷</v>
      </c>
    </row>
    <row r="124" spans="1:4">
      <c r="A124">
        <v>0</v>
      </c>
      <c r="B124">
        <v>0</v>
      </c>
      <c r="C124" s="3" t="s">
        <v>7</v>
      </c>
      <c r="D124" t="str">
        <f t="shared" si="3"/>
        <v>不提供借贷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2020-09-11T14:53:00Z</dcterms:created>
  <dcterms:modified xsi:type="dcterms:W3CDTF">2020-09-13T03:15:34Z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