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348" windowHeight="100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<sst xmlns="http://schemas.openxmlformats.org/spreadsheetml/2006/main" count="127" uniqueCount="8">
  <si>
    <t>利率</t>
  </si>
  <si>
    <t>银行收益</t>
  </si>
  <si>
    <t>信誉评级</t>
  </si>
  <si>
    <t>可贷款年限</t>
  </si>
  <si>
    <t>A</t>
  </si>
  <si>
    <t>C</t>
  </si>
  <si>
    <t>B</t>
  </si>
  <si>
    <t>D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</si>
</sst>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6" fillId="10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6" borderId="3" applyNumberFormat="0" applyFont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16" fillId="0" borderId="1" applyNumberFormat="0" applyFill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8" fillId="24" borderId="7" applyNumberFormat="0" applyAlignment="0" applyProtection="0">
      <alignment vertical="center"/>
    </xf>
    <xf numFmtId="0" fontId="19" fillId="24" borderId="2" applyNumberFormat="0" applyAlignment="0" applyProtection="0">
      <alignment vertical="center"/>
    </xf>
    <xf numFmtId="0" fontId="14" fillId="20" borderId="4" applyNumberFormat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4"/>
  <sheetViews>
    <sheetView tabSelected="1" workbookViewId="0">
      <selection activeCell="D1" sqref="D$1:D$1048576"/>
    </sheetView>
  </sheetViews>
  <sheetFormatPr defaultColWidth="8.88888888888889" defaultRowHeight="14.4" outlineLevelCol="3"/>
  <cols>
    <col min="1" max="2" width="12.8888888888889"/>
    <col min="3" max="3" width="17.1296296296296" customWidth="1"/>
    <col min="4" max="4" width="12.4444444444444" customWidth="1"/>
  </cols>
  <sheetData>
    <row r="1" spans="1:4">
      <c r="A1" t="s">
        <v>0</v>
      </c>
      <c r="B1" t="s">
        <v>1</v>
      </c>
      <c r="C1" s="1" t="s">
        <v>2</v>
      </c>
      <c r="D1" t="s">
        <v>3</v>
      </c>
    </row>
    <row r="2" spans="1:4">
      <c r="A2">
        <v>0.0410753662320729</v>
      </c>
      <c r="B2">
        <v>12.5936555672761</v>
      </c>
      <c r="C2" s="2" t="s">
        <v>4</v>
      </c>
      <c r="D2" t="str">
        <f>_xlfn.SWITCH(C2,"A","长期","B","C","短期","D","不提供借贷")</f>
        <v>长期</v>
      </c>
    </row>
    <row r="3" spans="1:4">
      <c r="A3">
        <v>0.041</v>
      </c>
      <c r="B3">
        <v>1.35863486386161</v>
      </c>
      <c r="C3" s="2" t="s">
        <v>4</v>
      </c>
      <c r="D3" t="str">
        <f>_xlfn.SWITCH(C3,"A","长期","B","C","短期","D","不提供借贷")</f>
        <v>长期</v>
      </c>
    </row>
    <row r="4" spans="1:4">
      <c r="A4">
        <v>0.0418204524128178</v>
      </c>
      <c r="B4">
        <v>2.89287620452655</v>
      </c>
      <c r="C4" s="2" t="s">
        <v>5</v>
      </c>
      <c r="D4" t="str">
        <f>_xlfn.SWITCH(C4,"A","长期","B","中期","C","短期","D","不提供借贷")</f>
        <v>短期</v>
      </c>
    </row>
    <row r="5" spans="1:4">
      <c r="A5">
        <v>0.041</v>
      </c>
      <c r="B5">
        <v>10.0009545739793</v>
      </c>
      <c r="C5" s="2" t="s">
        <v>5</v>
      </c>
      <c r="D5" t="str">
        <f t="shared" ref="D5:D36" si="0">_xlfn.SWITCH(C5,"A","长期","B","中期","C","短期","D","不提供借贷")</f>
        <v>短期</v>
      </c>
    </row>
    <row r="6" spans="1:4">
      <c r="A6">
        <v>0.0454163345997172</v>
      </c>
      <c r="B6">
        <v>0.0192789992714359</v>
      </c>
      <c r="C6" s="2" t="s">
        <v>6</v>
      </c>
      <c r="D6" t="str">
        <f t="shared" si="0"/>
        <v>中期</v>
      </c>
    </row>
    <row r="7" spans="1:4">
      <c r="A7">
        <v>0.041</v>
      </c>
      <c r="B7">
        <v>0.858827746678174</v>
      </c>
      <c r="C7" s="2" t="s">
        <v>4</v>
      </c>
      <c r="D7" t="str">
        <f t="shared" si="0"/>
        <v>长期</v>
      </c>
    </row>
    <row r="8" spans="1:4">
      <c r="A8">
        <v>0.041</v>
      </c>
      <c r="B8">
        <v>1.2593771884762</v>
      </c>
      <c r="C8" s="2" t="s">
        <v>4</v>
      </c>
      <c r="D8" t="str">
        <f t="shared" si="0"/>
        <v>长期</v>
      </c>
    </row>
    <row r="9" spans="1:4">
      <c r="A9">
        <v>0.041</v>
      </c>
      <c r="B9">
        <v>0.804324812607746</v>
      </c>
      <c r="C9" s="2" t="s">
        <v>4</v>
      </c>
      <c r="D9" t="str">
        <f t="shared" si="0"/>
        <v>长期</v>
      </c>
    </row>
    <row r="10" spans="1:4">
      <c r="A10">
        <v>0.041</v>
      </c>
      <c r="B10">
        <v>0.780283706565567</v>
      </c>
      <c r="C10" s="2" t="s">
        <v>4</v>
      </c>
      <c r="D10" t="str">
        <f t="shared" si="0"/>
        <v>长期</v>
      </c>
    </row>
    <row r="11" spans="1:4">
      <c r="A11">
        <v>0.0459672075102486</v>
      </c>
      <c r="B11">
        <v>0.0274763695996167</v>
      </c>
      <c r="C11" s="2" t="s">
        <v>6</v>
      </c>
      <c r="D11" t="str">
        <f t="shared" si="0"/>
        <v>中期</v>
      </c>
    </row>
    <row r="12" spans="1:4">
      <c r="A12">
        <v>0.0448816677370051</v>
      </c>
      <c r="B12">
        <v>1.31753706405413</v>
      </c>
      <c r="C12" s="2" t="s">
        <v>5</v>
      </c>
      <c r="D12" t="str">
        <f t="shared" si="0"/>
        <v>短期</v>
      </c>
    </row>
    <row r="13" spans="1:4">
      <c r="A13">
        <v>0.0450609685709156</v>
      </c>
      <c r="B13">
        <v>0.0413340614598781</v>
      </c>
      <c r="C13" s="2" t="s">
        <v>6</v>
      </c>
      <c r="D13" t="str">
        <f t="shared" si="0"/>
        <v>中期</v>
      </c>
    </row>
    <row r="14" spans="1:4">
      <c r="A14">
        <v>0.0411391490164942</v>
      </c>
      <c r="B14">
        <v>0.51704062134427</v>
      </c>
      <c r="C14" s="2" t="s">
        <v>4</v>
      </c>
      <c r="D14" t="str">
        <f t="shared" si="0"/>
        <v>长期</v>
      </c>
    </row>
    <row r="15" spans="1:4">
      <c r="A15">
        <v>0.0438308772090151</v>
      </c>
      <c r="B15">
        <v>1.16978538768913</v>
      </c>
      <c r="C15" s="2" t="s">
        <v>5</v>
      </c>
      <c r="D15" t="str">
        <f t="shared" si="0"/>
        <v>短期</v>
      </c>
    </row>
    <row r="16" spans="1:4">
      <c r="A16">
        <v>0.041</v>
      </c>
      <c r="B16">
        <v>0.607800585661379</v>
      </c>
      <c r="C16" s="2" t="s">
        <v>4</v>
      </c>
      <c r="D16" t="str">
        <f t="shared" si="0"/>
        <v>长期</v>
      </c>
    </row>
    <row r="17" spans="1:4">
      <c r="A17">
        <v>0.041</v>
      </c>
      <c r="B17">
        <v>0.476141189349918</v>
      </c>
      <c r="C17" s="2" t="s">
        <v>4</v>
      </c>
      <c r="D17" t="str">
        <f t="shared" si="0"/>
        <v>长期</v>
      </c>
    </row>
    <row r="18" spans="1:4">
      <c r="A18">
        <v>0.0410872497197867</v>
      </c>
      <c r="B18">
        <v>0.365391906820885</v>
      </c>
      <c r="C18" s="2" t="s">
        <v>4</v>
      </c>
      <c r="D18" t="str">
        <f t="shared" si="0"/>
        <v>长期</v>
      </c>
    </row>
    <row r="19" spans="1:4">
      <c r="A19">
        <v>0.041</v>
      </c>
      <c r="B19">
        <v>0.42877970660244</v>
      </c>
      <c r="C19" s="2" t="s">
        <v>4</v>
      </c>
      <c r="D19" t="str">
        <f t="shared" si="0"/>
        <v>长期</v>
      </c>
    </row>
    <row r="20" spans="1:4">
      <c r="A20">
        <v>0.0413334563779923</v>
      </c>
      <c r="B20">
        <v>0.457229490275881</v>
      </c>
      <c r="C20" s="2" t="s">
        <v>4</v>
      </c>
      <c r="D20" t="str">
        <f t="shared" si="0"/>
        <v>长期</v>
      </c>
    </row>
    <row r="21" spans="1:4">
      <c r="A21">
        <v>0.0454243174014268</v>
      </c>
      <c r="B21">
        <v>0.0173079243613627</v>
      </c>
      <c r="C21" s="2" t="s">
        <v>6</v>
      </c>
      <c r="D21" t="str">
        <f t="shared" si="0"/>
        <v>中期</v>
      </c>
    </row>
    <row r="22" spans="1:4">
      <c r="A22">
        <v>0.0458852717806078</v>
      </c>
      <c r="B22">
        <v>0.0104343616914034</v>
      </c>
      <c r="C22" s="2" t="s">
        <v>6</v>
      </c>
      <c r="D22" t="str">
        <f t="shared" si="0"/>
        <v>中期</v>
      </c>
    </row>
    <row r="23" spans="1:4">
      <c r="A23">
        <v>0.0410810036050705</v>
      </c>
      <c r="B23">
        <v>0.26709259131981</v>
      </c>
      <c r="C23" s="2" t="s">
        <v>4</v>
      </c>
      <c r="D23" t="str">
        <f t="shared" si="0"/>
        <v>长期</v>
      </c>
    </row>
    <row r="24" spans="1:4">
      <c r="A24">
        <v>0.0455132832146231</v>
      </c>
      <c r="B24">
        <v>0.015637765332829</v>
      </c>
      <c r="C24" s="2" t="s">
        <v>6</v>
      </c>
      <c r="D24" t="str">
        <f t="shared" si="0"/>
        <v>中期</v>
      </c>
    </row>
    <row r="25" spans="1:4">
      <c r="A25">
        <v>0.041035467488011</v>
      </c>
      <c r="B25">
        <v>0.354032725101252</v>
      </c>
      <c r="C25" s="2" t="s">
        <v>4</v>
      </c>
      <c r="D25" t="str">
        <f t="shared" si="0"/>
        <v>长期</v>
      </c>
    </row>
    <row r="26" spans="1:4">
      <c r="A26">
        <v>0.0446186042302446</v>
      </c>
      <c r="B26">
        <v>0.228564672577576</v>
      </c>
      <c r="C26" s="2" t="s">
        <v>5</v>
      </c>
      <c r="D26" t="str">
        <f t="shared" si="0"/>
        <v>短期</v>
      </c>
    </row>
    <row r="27" spans="1:4">
      <c r="A27">
        <v>0.041195141674478</v>
      </c>
      <c r="B27">
        <v>0.0950372171613098</v>
      </c>
      <c r="C27" s="2" t="s">
        <v>4</v>
      </c>
      <c r="D27" t="str">
        <f t="shared" si="0"/>
        <v>长期</v>
      </c>
    </row>
    <row r="28" spans="1:4">
      <c r="A28">
        <v>0.0411651513351095</v>
      </c>
      <c r="B28">
        <v>0.105972449953646</v>
      </c>
      <c r="C28" s="2" t="s">
        <v>4</v>
      </c>
      <c r="D28" t="str">
        <f t="shared" si="0"/>
        <v>长期</v>
      </c>
    </row>
    <row r="29" spans="1:4">
      <c r="A29">
        <v>0.0457669004366783</v>
      </c>
      <c r="B29">
        <v>0.00587815071141149</v>
      </c>
      <c r="C29" s="2" t="s">
        <v>6</v>
      </c>
      <c r="D29" t="str">
        <f t="shared" si="0"/>
        <v>中期</v>
      </c>
    </row>
    <row r="30" spans="1:4">
      <c r="A30">
        <v>0.0440484259938078</v>
      </c>
      <c r="B30">
        <v>0</v>
      </c>
      <c r="C30" s="2" t="s">
        <v>5</v>
      </c>
      <c r="D30" t="str">
        <f t="shared" si="0"/>
        <v>短期</v>
      </c>
    </row>
    <row r="31" spans="1:4">
      <c r="A31">
        <v>0.0457418757404876</v>
      </c>
      <c r="B31">
        <v>0.00889268892789681</v>
      </c>
      <c r="C31" s="2" t="s">
        <v>6</v>
      </c>
      <c r="D31" t="str">
        <f t="shared" si="0"/>
        <v>中期</v>
      </c>
    </row>
    <row r="32" spans="1:4">
      <c r="A32">
        <v>0.0411380964347838</v>
      </c>
      <c r="B32">
        <v>0.118118964486465</v>
      </c>
      <c r="C32" s="2" t="s">
        <v>4</v>
      </c>
      <c r="D32" t="str">
        <f t="shared" si="0"/>
        <v>长期</v>
      </c>
    </row>
    <row r="33" spans="1:4">
      <c r="A33">
        <v>0.0459453005950929</v>
      </c>
      <c r="B33">
        <v>0.0041470966328367</v>
      </c>
      <c r="C33" s="2" t="s">
        <v>6</v>
      </c>
      <c r="D33" t="str">
        <f t="shared" si="0"/>
        <v>中期</v>
      </c>
    </row>
    <row r="34" spans="1:4">
      <c r="A34">
        <v>0.0459845972710253</v>
      </c>
      <c r="B34">
        <v>0.00599137646169429</v>
      </c>
      <c r="C34" s="2" t="s">
        <v>6</v>
      </c>
      <c r="D34" t="str">
        <f t="shared" si="0"/>
        <v>中期</v>
      </c>
    </row>
    <row r="35" spans="1:4">
      <c r="A35">
        <v>0.0459490222499201</v>
      </c>
      <c r="B35">
        <v>0.00747047237424472</v>
      </c>
      <c r="C35" s="2" t="s">
        <v>6</v>
      </c>
      <c r="D35" t="str">
        <f t="shared" si="0"/>
        <v>中期</v>
      </c>
    </row>
    <row r="36" spans="1:4">
      <c r="A36">
        <v>0.0459162153065308</v>
      </c>
      <c r="B36">
        <v>0.00285608657386177</v>
      </c>
      <c r="C36" s="2" t="s">
        <v>6</v>
      </c>
      <c r="D36" t="str">
        <f t="shared" si="0"/>
        <v>中期</v>
      </c>
    </row>
    <row r="37" spans="1:4">
      <c r="A37">
        <v>0</v>
      </c>
      <c r="B37">
        <v>-1000000</v>
      </c>
      <c r="C37" s="2" t="s">
        <v>7</v>
      </c>
      <c r="D37" t="str">
        <f t="shared" ref="D37:D68" si="1">_xlfn.SWITCH(C37,"A","长期","B","中期","C","短期","D","不提供借贷")</f>
        <v>不提供借贷</v>
      </c>
    </row>
    <row r="38" spans="1:4">
      <c r="A38">
        <v>0.0458486678979021</v>
      </c>
      <c r="B38">
        <v>0.00370145873819842</v>
      </c>
      <c r="C38" s="2" t="s">
        <v>6</v>
      </c>
      <c r="D38" t="str">
        <f t="shared" si="1"/>
        <v>中期</v>
      </c>
    </row>
    <row r="39" spans="1:4">
      <c r="A39">
        <v>0.0459533858838012</v>
      </c>
      <c r="B39">
        <v>0.00548436046233905</v>
      </c>
      <c r="C39" s="2" t="s">
        <v>6</v>
      </c>
      <c r="D39" t="str">
        <f t="shared" si="1"/>
        <v>中期</v>
      </c>
    </row>
    <row r="40" spans="1:4">
      <c r="A40">
        <v>0.0446567474140824</v>
      </c>
      <c r="B40">
        <v>0.24336688628445</v>
      </c>
      <c r="C40" s="2" t="s">
        <v>5</v>
      </c>
      <c r="D40" t="str">
        <f t="shared" si="1"/>
        <v>短期</v>
      </c>
    </row>
    <row r="41" spans="1:4">
      <c r="A41">
        <v>0.0450108276674756</v>
      </c>
      <c r="B41">
        <v>0.176315608412138</v>
      </c>
      <c r="C41" s="2" t="s">
        <v>5</v>
      </c>
      <c r="D41" t="str">
        <f t="shared" si="1"/>
        <v>短期</v>
      </c>
    </row>
    <row r="42" spans="1:4">
      <c r="A42">
        <v>0.0449952853610765</v>
      </c>
      <c r="B42">
        <v>0.156810183682406</v>
      </c>
      <c r="C42" s="2" t="s">
        <v>5</v>
      </c>
      <c r="D42" t="str">
        <f t="shared" si="1"/>
        <v>短期</v>
      </c>
    </row>
    <row r="43" spans="1:4">
      <c r="A43">
        <v>0.041</v>
      </c>
      <c r="B43">
        <v>0.110830712276608</v>
      </c>
      <c r="C43" s="3" t="s">
        <v>4</v>
      </c>
      <c r="D43" t="str">
        <f t="shared" si="1"/>
        <v>长期</v>
      </c>
    </row>
    <row r="44" spans="1:4">
      <c r="A44">
        <v>0.0458748635127672</v>
      </c>
      <c r="B44">
        <v>0.0041472826501968</v>
      </c>
      <c r="C44" s="2" t="s">
        <v>6</v>
      </c>
      <c r="D44" t="str">
        <f t="shared" si="1"/>
        <v>中期</v>
      </c>
    </row>
    <row r="45" spans="1:4">
      <c r="A45">
        <v>0.0447537454139377</v>
      </c>
      <c r="B45">
        <v>0.181378285313215</v>
      </c>
      <c r="C45" s="2" t="s">
        <v>5</v>
      </c>
      <c r="D45" t="str">
        <f t="shared" si="1"/>
        <v>短期</v>
      </c>
    </row>
    <row r="46" spans="1:4">
      <c r="A46">
        <v>0.0416859406824154</v>
      </c>
      <c r="B46">
        <v>0</v>
      </c>
      <c r="C46" s="2" t="s">
        <v>6</v>
      </c>
      <c r="D46" t="str">
        <f t="shared" si="1"/>
        <v>中期</v>
      </c>
    </row>
    <row r="47" spans="1:4">
      <c r="A47">
        <v>0.0450406432648425</v>
      </c>
      <c r="B47">
        <v>0.300399835953909</v>
      </c>
      <c r="C47" s="2" t="s">
        <v>5</v>
      </c>
      <c r="D47" t="str">
        <f t="shared" si="1"/>
        <v>短期</v>
      </c>
    </row>
    <row r="48" spans="1:4">
      <c r="A48">
        <v>0.0446451553669537</v>
      </c>
      <c r="B48">
        <v>0.276100348294238</v>
      </c>
      <c r="C48" s="2" t="s">
        <v>5</v>
      </c>
      <c r="D48" t="str">
        <f t="shared" si="1"/>
        <v>短期</v>
      </c>
    </row>
    <row r="49" spans="1:4">
      <c r="A49">
        <v>0.041144248360925</v>
      </c>
      <c r="B49">
        <v>0.128298600059562</v>
      </c>
      <c r="C49" s="2" t="s">
        <v>4</v>
      </c>
      <c r="D49" t="str">
        <f t="shared" si="1"/>
        <v>长期</v>
      </c>
    </row>
    <row r="50" spans="1:4">
      <c r="A50">
        <v>0.0449500617914795</v>
      </c>
      <c r="B50">
        <v>0.241444653591662</v>
      </c>
      <c r="C50" s="2" t="s">
        <v>5</v>
      </c>
      <c r="D50" t="str">
        <f t="shared" si="1"/>
        <v>短期</v>
      </c>
    </row>
    <row r="51" spans="1:4">
      <c r="A51">
        <v>0.044945467822844</v>
      </c>
      <c r="B51">
        <v>0.276520968010458</v>
      </c>
      <c r="C51" s="2" t="s">
        <v>5</v>
      </c>
      <c r="D51" t="str">
        <f t="shared" si="1"/>
        <v>短期</v>
      </c>
    </row>
    <row r="52" spans="1:4">
      <c r="A52">
        <v>0.0459179096267371</v>
      </c>
      <c r="B52">
        <v>0.0022513825063792</v>
      </c>
      <c r="C52" s="2" t="s">
        <v>6</v>
      </c>
      <c r="D52" t="str">
        <f t="shared" si="1"/>
        <v>中期</v>
      </c>
    </row>
    <row r="53" spans="1:4">
      <c r="A53">
        <v>0</v>
      </c>
      <c r="B53">
        <v>-1000000</v>
      </c>
      <c r="C53" s="2" t="s">
        <v>7</v>
      </c>
      <c r="D53" t="str">
        <f t="shared" si="1"/>
        <v>不提供借贷</v>
      </c>
    </row>
    <row r="54" spans="1:4">
      <c r="A54">
        <v>0.0450038672975707</v>
      </c>
      <c r="B54">
        <v>0.227243118282753</v>
      </c>
      <c r="C54" s="2" t="s">
        <v>5</v>
      </c>
      <c r="D54" t="str">
        <f t="shared" si="1"/>
        <v>短期</v>
      </c>
    </row>
    <row r="55" spans="1:4">
      <c r="A55">
        <v>0.0411322420090099</v>
      </c>
      <c r="B55">
        <v>0.0794806399428263</v>
      </c>
      <c r="C55" s="2" t="s">
        <v>4</v>
      </c>
      <c r="D55" t="str">
        <f t="shared" si="1"/>
        <v>长期</v>
      </c>
    </row>
    <row r="56" spans="1:4">
      <c r="A56">
        <v>0.0448315471890917</v>
      </c>
      <c r="B56">
        <v>0.162824560610551</v>
      </c>
      <c r="C56" s="2" t="s">
        <v>5</v>
      </c>
      <c r="D56" t="str">
        <f t="shared" si="1"/>
        <v>短期</v>
      </c>
    </row>
    <row r="57" spans="1:4">
      <c r="A57">
        <v>0.0447723238931991</v>
      </c>
      <c r="B57">
        <v>0.15320024318945</v>
      </c>
      <c r="C57" s="2" t="s">
        <v>5</v>
      </c>
      <c r="D57" t="str">
        <f t="shared" si="1"/>
        <v>短期</v>
      </c>
    </row>
    <row r="58" spans="1:4">
      <c r="A58">
        <v>0.0458375840052901</v>
      </c>
      <c r="B58">
        <v>0.00359209780994451</v>
      </c>
      <c r="C58" s="2" t="s">
        <v>6</v>
      </c>
      <c r="D58" t="str">
        <f t="shared" si="1"/>
        <v>中期</v>
      </c>
    </row>
    <row r="59" spans="1:4">
      <c r="A59">
        <v>0.045916085646519</v>
      </c>
      <c r="B59">
        <v>0.00253479798062974</v>
      </c>
      <c r="C59" s="2" t="s">
        <v>6</v>
      </c>
      <c r="D59" t="str">
        <f t="shared" si="1"/>
        <v>中期</v>
      </c>
    </row>
    <row r="60" spans="1:4">
      <c r="A60">
        <v>0.0411740440842617</v>
      </c>
      <c r="B60">
        <v>0.0673806128135072</v>
      </c>
      <c r="C60" s="2" t="s">
        <v>4</v>
      </c>
      <c r="D60" t="str">
        <f t="shared" si="1"/>
        <v>长期</v>
      </c>
    </row>
    <row r="61" spans="1:4">
      <c r="A61">
        <v>0.0459556211934587</v>
      </c>
      <c r="B61">
        <v>0.00106951297424617</v>
      </c>
      <c r="C61" s="2" t="s">
        <v>6</v>
      </c>
      <c r="D61" t="str">
        <f t="shared" si="1"/>
        <v>中期</v>
      </c>
    </row>
    <row r="62" spans="1:4">
      <c r="A62">
        <v>0.0458977863516419</v>
      </c>
      <c r="B62">
        <v>0.0013813976559561</v>
      </c>
      <c r="C62" s="2" t="s">
        <v>6</v>
      </c>
      <c r="D62" t="str">
        <f t="shared" si="1"/>
        <v>中期</v>
      </c>
    </row>
    <row r="63" spans="1:4">
      <c r="A63">
        <v>0.0459309631359906</v>
      </c>
      <c r="B63">
        <v>0.00101927246273018</v>
      </c>
      <c r="C63" s="2" t="s">
        <v>6</v>
      </c>
      <c r="D63" t="str">
        <f t="shared" si="1"/>
        <v>中期</v>
      </c>
    </row>
    <row r="64" spans="1:4">
      <c r="A64">
        <v>0.0456414831149733</v>
      </c>
      <c r="B64">
        <v>0.006527470623173</v>
      </c>
      <c r="C64" s="2" t="s">
        <v>6</v>
      </c>
      <c r="D64" t="str">
        <f t="shared" si="1"/>
        <v>中期</v>
      </c>
    </row>
    <row r="65" spans="1:4">
      <c r="A65">
        <v>0.0411311494669937</v>
      </c>
      <c r="B65">
        <v>0.0205752680507145</v>
      </c>
      <c r="C65" s="2" t="s">
        <v>4</v>
      </c>
      <c r="D65" t="str">
        <f t="shared" si="1"/>
        <v>长期</v>
      </c>
    </row>
    <row r="66" spans="1:4">
      <c r="A66">
        <v>0.0459349336071033</v>
      </c>
      <c r="B66">
        <v>0.000620353747874431</v>
      </c>
      <c r="C66" s="2" t="s">
        <v>6</v>
      </c>
      <c r="D66" t="str">
        <f t="shared" si="1"/>
        <v>中期</v>
      </c>
    </row>
    <row r="67" spans="1:4">
      <c r="A67">
        <v>0.0459490014247094</v>
      </c>
      <c r="B67">
        <v>0.000509681566125179</v>
      </c>
      <c r="C67" s="2" t="s">
        <v>6</v>
      </c>
      <c r="D67" t="str">
        <f t="shared" si="1"/>
        <v>中期</v>
      </c>
    </row>
    <row r="68" spans="1:4">
      <c r="A68">
        <v>0.0459452290141089</v>
      </c>
      <c r="B68">
        <v>0.000633773627910642</v>
      </c>
      <c r="C68" s="2" t="s">
        <v>6</v>
      </c>
      <c r="D68" t="str">
        <f t="shared" si="1"/>
        <v>中期</v>
      </c>
    </row>
    <row r="69" spans="1:4">
      <c r="A69">
        <v>0.0449434243185993</v>
      </c>
      <c r="B69">
        <v>0.0886440710436241</v>
      </c>
      <c r="C69" s="2" t="s">
        <v>5</v>
      </c>
      <c r="D69" t="str">
        <f t="shared" ref="D69:D100" si="2">_xlfn.SWITCH(C69,"A","长期","B","中期","C","短期","D","不提供借贷")</f>
        <v>短期</v>
      </c>
    </row>
    <row r="70" spans="1:4">
      <c r="A70">
        <v>0.0448870999552445</v>
      </c>
      <c r="B70">
        <v>0.0351844107688914</v>
      </c>
      <c r="C70" s="2" t="s">
        <v>5</v>
      </c>
      <c r="D70" t="str">
        <f t="shared" si="2"/>
        <v>短期</v>
      </c>
    </row>
    <row r="71" spans="1:4">
      <c r="A71">
        <v>0.0459126620917579</v>
      </c>
      <c r="B71">
        <v>0.000834811624510014</v>
      </c>
      <c r="C71" s="2" t="s">
        <v>6</v>
      </c>
      <c r="D71" t="str">
        <f t="shared" si="2"/>
        <v>中期</v>
      </c>
    </row>
    <row r="72" spans="1:4">
      <c r="A72">
        <v>0.0459906579845391</v>
      </c>
      <c r="B72">
        <v>0.00196831824941194</v>
      </c>
      <c r="C72" s="2" t="s">
        <v>6</v>
      </c>
      <c r="D72" t="str">
        <f t="shared" si="2"/>
        <v>中期</v>
      </c>
    </row>
    <row r="73" spans="1:4">
      <c r="A73">
        <v>0.0449056376096009</v>
      </c>
      <c r="B73">
        <v>0.0440195840021038</v>
      </c>
      <c r="C73" s="2" t="s">
        <v>5</v>
      </c>
      <c r="D73" t="str">
        <f t="shared" si="2"/>
        <v>短期</v>
      </c>
    </row>
    <row r="74" spans="1:4">
      <c r="A74">
        <v>0.0448216390162468</v>
      </c>
      <c r="B74">
        <v>0.034317843195135</v>
      </c>
      <c r="C74" s="2" t="s">
        <v>5</v>
      </c>
      <c r="D74" t="str">
        <f t="shared" si="2"/>
        <v>短期</v>
      </c>
    </row>
    <row r="75" spans="1:4">
      <c r="A75">
        <v>0.0459517552667664</v>
      </c>
      <c r="B75">
        <v>0.000389563051672887</v>
      </c>
      <c r="C75" s="2" t="s">
        <v>6</v>
      </c>
      <c r="D75" t="str">
        <f t="shared" si="2"/>
        <v>中期</v>
      </c>
    </row>
    <row r="76" spans="1:4">
      <c r="A76">
        <v>0.0448921825764978</v>
      </c>
      <c r="B76">
        <v>0.0320317713700336</v>
      </c>
      <c r="C76" s="2" t="s">
        <v>5</v>
      </c>
      <c r="D76" t="str">
        <f t="shared" si="2"/>
        <v>短期</v>
      </c>
    </row>
    <row r="77" spans="1:4">
      <c r="A77">
        <v>0.0459398826602682</v>
      </c>
      <c r="B77">
        <v>0.00032654095045924</v>
      </c>
      <c r="C77" s="2" t="s">
        <v>6</v>
      </c>
      <c r="D77" t="str">
        <f t="shared" si="2"/>
        <v>中期</v>
      </c>
    </row>
    <row r="78" spans="1:4">
      <c r="A78">
        <v>0.0448855907837463</v>
      </c>
      <c r="B78">
        <v>0.0544147833608079</v>
      </c>
      <c r="C78" s="2" t="s">
        <v>5</v>
      </c>
      <c r="D78" t="str">
        <f t="shared" si="2"/>
        <v>短期</v>
      </c>
    </row>
    <row r="79" spans="1:4">
      <c r="A79">
        <v>0.0448687124838468</v>
      </c>
      <c r="B79">
        <v>0.0559275306655211</v>
      </c>
      <c r="C79" s="2" t="s">
        <v>5</v>
      </c>
      <c r="D79" t="str">
        <f t="shared" si="2"/>
        <v>短期</v>
      </c>
    </row>
    <row r="80" spans="1:4">
      <c r="A80">
        <v>0.0459434304471783</v>
      </c>
      <c r="B80">
        <v>0.000398677737933773</v>
      </c>
      <c r="C80" s="2" t="s">
        <v>6</v>
      </c>
      <c r="D80" t="str">
        <f t="shared" si="2"/>
        <v>中期</v>
      </c>
    </row>
    <row r="81" spans="1:4">
      <c r="A81">
        <v>0.0449033767168439</v>
      </c>
      <c r="B81">
        <v>0.0842808084918946</v>
      </c>
      <c r="C81" s="2" t="s">
        <v>5</v>
      </c>
      <c r="D81" t="str">
        <f t="shared" si="2"/>
        <v>短期</v>
      </c>
    </row>
    <row r="82" spans="1:4">
      <c r="A82">
        <v>0.0411619901721452</v>
      </c>
      <c r="B82">
        <v>0.00851506066746171</v>
      </c>
      <c r="C82" s="2" t="s">
        <v>4</v>
      </c>
      <c r="D82" t="str">
        <f t="shared" si="2"/>
        <v>长期</v>
      </c>
    </row>
    <row r="83" spans="1:4">
      <c r="A83">
        <v>0</v>
      </c>
      <c r="B83">
        <v>-1000000</v>
      </c>
      <c r="C83" s="2" t="s">
        <v>7</v>
      </c>
      <c r="D83" t="str">
        <f t="shared" si="2"/>
        <v>不提供借贷</v>
      </c>
    </row>
    <row r="84" spans="1:4">
      <c r="A84">
        <v>0.0460208199486398</v>
      </c>
      <c r="B84">
        <v>0.000397012074136678</v>
      </c>
      <c r="C84" s="2" t="s">
        <v>6</v>
      </c>
      <c r="D84" t="str">
        <f t="shared" si="2"/>
        <v>中期</v>
      </c>
    </row>
    <row r="85" spans="1:4">
      <c r="A85">
        <v>0.0411620653830916</v>
      </c>
      <c r="B85">
        <v>0.0140422255427977</v>
      </c>
      <c r="C85" s="2" t="s">
        <v>4</v>
      </c>
      <c r="D85" t="str">
        <f t="shared" si="2"/>
        <v>长期</v>
      </c>
    </row>
    <row r="86" spans="1:4">
      <c r="A86">
        <v>0.0459443570105927</v>
      </c>
      <c r="B86">
        <v>0.000202545782987023</v>
      </c>
      <c r="C86" s="2" t="s">
        <v>6</v>
      </c>
      <c r="D86" t="str">
        <f t="shared" si="2"/>
        <v>中期</v>
      </c>
    </row>
    <row r="87" spans="1:4">
      <c r="A87">
        <v>0.0448898618480561</v>
      </c>
      <c r="B87">
        <v>0.0305817071218911</v>
      </c>
      <c r="C87" s="2" t="s">
        <v>5</v>
      </c>
      <c r="D87" t="str">
        <f t="shared" si="2"/>
        <v>短期</v>
      </c>
    </row>
    <row r="88" spans="1:4">
      <c r="A88">
        <v>0.043757152072321</v>
      </c>
      <c r="B88">
        <v>0</v>
      </c>
      <c r="C88" s="2" t="s">
        <v>5</v>
      </c>
      <c r="D88" t="str">
        <f t="shared" si="2"/>
        <v>短期</v>
      </c>
    </row>
    <row r="89" spans="1:4">
      <c r="A89">
        <v>0.041156911878932</v>
      </c>
      <c r="B89">
        <v>0.00626366939951818</v>
      </c>
      <c r="C89" s="2" t="s">
        <v>4</v>
      </c>
      <c r="D89" t="str">
        <f t="shared" si="2"/>
        <v>长期</v>
      </c>
    </row>
    <row r="90" spans="1:4">
      <c r="A90">
        <v>0.0411691766209962</v>
      </c>
      <c r="B90">
        <v>0.00756256409125964</v>
      </c>
      <c r="C90" s="2" t="s">
        <v>4</v>
      </c>
      <c r="D90" t="str">
        <f t="shared" si="2"/>
        <v>长期</v>
      </c>
    </row>
    <row r="91" spans="1:4">
      <c r="A91">
        <v>0.0448700756098859</v>
      </c>
      <c r="B91">
        <v>0.0191868685564167</v>
      </c>
      <c r="C91" s="2" t="s">
        <v>5</v>
      </c>
      <c r="D91" t="str">
        <f t="shared" si="2"/>
        <v>短期</v>
      </c>
    </row>
    <row r="92" spans="1:4">
      <c r="A92">
        <v>0.0411613900647574</v>
      </c>
      <c r="B92">
        <v>0.00586776690253011</v>
      </c>
      <c r="C92" s="2" t="s">
        <v>4</v>
      </c>
      <c r="D92" t="str">
        <f t="shared" si="2"/>
        <v>长期</v>
      </c>
    </row>
    <row r="93" spans="1:4">
      <c r="A93">
        <v>0.0448864415015256</v>
      </c>
      <c r="B93">
        <v>0.0338230017087186</v>
      </c>
      <c r="C93" s="2" t="s">
        <v>5</v>
      </c>
      <c r="D93" t="str">
        <f t="shared" si="2"/>
        <v>短期</v>
      </c>
    </row>
    <row r="94" spans="1:4">
      <c r="A94">
        <v>0.0459442169250856</v>
      </c>
      <c r="B94">
        <v>0.00011883906602878</v>
      </c>
      <c r="C94" s="2" t="s">
        <v>6</v>
      </c>
      <c r="D94" t="str">
        <f t="shared" si="2"/>
        <v>中期</v>
      </c>
    </row>
    <row r="95" spans="1:4">
      <c r="A95">
        <v>0.0448701433264115</v>
      </c>
      <c r="B95">
        <v>0.00805810445673044</v>
      </c>
      <c r="C95" s="2" t="s">
        <v>5</v>
      </c>
      <c r="D95" t="str">
        <f t="shared" si="2"/>
        <v>短期</v>
      </c>
    </row>
    <row r="96" spans="1:4">
      <c r="A96">
        <v>0.0459434002723698</v>
      </c>
      <c r="B96">
        <v>0.00018604104580869</v>
      </c>
      <c r="C96" s="2" t="s">
        <v>6</v>
      </c>
      <c r="D96" t="str">
        <f t="shared" si="2"/>
        <v>中期</v>
      </c>
    </row>
    <row r="97" spans="1:4">
      <c r="A97">
        <v>0.0449369979288549</v>
      </c>
      <c r="B97">
        <v>0.0661201425538575</v>
      </c>
      <c r="C97" s="2" t="s">
        <v>5</v>
      </c>
      <c r="D97" t="str">
        <f t="shared" si="2"/>
        <v>短期</v>
      </c>
    </row>
    <row r="98" spans="1:4">
      <c r="A98">
        <v>0.0459435887576339</v>
      </c>
      <c r="B98">
        <v>0.000144068608853261</v>
      </c>
      <c r="C98" s="2" t="s">
        <v>6</v>
      </c>
      <c r="D98" t="str">
        <f t="shared" si="2"/>
        <v>中期</v>
      </c>
    </row>
    <row r="99" spans="1:4">
      <c r="A99">
        <v>0.0459442168291369</v>
      </c>
      <c r="B99">
        <v>0.000127534197376575</v>
      </c>
      <c r="C99" s="2" t="s">
        <v>6</v>
      </c>
      <c r="D99" t="str">
        <f t="shared" si="2"/>
        <v>中期</v>
      </c>
    </row>
    <row r="100" spans="1:4">
      <c r="A100">
        <v>0</v>
      </c>
      <c r="B100">
        <v>-1000000</v>
      </c>
      <c r="C100" s="2" t="s">
        <v>7</v>
      </c>
      <c r="D100" t="str">
        <f t="shared" si="2"/>
        <v>不提供借贷</v>
      </c>
    </row>
    <row r="101" spans="1:4">
      <c r="A101">
        <v>0</v>
      </c>
      <c r="B101">
        <v>-1000000</v>
      </c>
      <c r="C101" s="2" t="s">
        <v>7</v>
      </c>
      <c r="D101" t="str">
        <f t="shared" ref="D101:D124" si="3">_xlfn.SWITCH(C101,"A","长期","B","中期","C","短期","D","不提供借贷")</f>
        <v>不提供借贷</v>
      </c>
    </row>
    <row r="102" spans="1:4">
      <c r="A102">
        <v>0</v>
      </c>
      <c r="B102">
        <v>-1000000</v>
      </c>
      <c r="C102" s="2" t="s">
        <v>7</v>
      </c>
      <c r="D102" t="str">
        <f t="shared" si="3"/>
        <v>不提供借贷</v>
      </c>
    </row>
    <row r="103" spans="1:4">
      <c r="A103">
        <v>0</v>
      </c>
      <c r="B103">
        <v>-1000000</v>
      </c>
      <c r="C103" s="2" t="s">
        <v>7</v>
      </c>
      <c r="D103" t="str">
        <f t="shared" si="3"/>
        <v>不提供借贷</v>
      </c>
    </row>
    <row r="104" spans="1:4">
      <c r="A104">
        <v>0</v>
      </c>
      <c r="B104">
        <v>-1000000</v>
      </c>
      <c r="C104" s="2" t="s">
        <v>7</v>
      </c>
      <c r="D104" t="str">
        <f t="shared" si="3"/>
        <v>不提供借贷</v>
      </c>
    </row>
    <row r="105" spans="1:4">
      <c r="A105">
        <v>0.0448675486381381</v>
      </c>
      <c r="B105">
        <v>0.00482265986532791</v>
      </c>
      <c r="C105" s="2" t="s">
        <v>5</v>
      </c>
      <c r="D105" t="str">
        <f t="shared" si="3"/>
        <v>短期</v>
      </c>
    </row>
    <row r="106" spans="1:4">
      <c r="A106">
        <v>0.0448693181219137</v>
      </c>
      <c r="B106">
        <v>0.0073833651926542</v>
      </c>
      <c r="C106" s="2" t="s">
        <v>5</v>
      </c>
      <c r="D106" t="str">
        <f t="shared" si="3"/>
        <v>短期</v>
      </c>
    </row>
    <row r="107" spans="1:4">
      <c r="A107">
        <v>0.0459437634281025</v>
      </c>
      <c r="B107" s="4">
        <v>5.1610904770478e-5</v>
      </c>
      <c r="C107" s="2" t="s">
        <v>6</v>
      </c>
      <c r="D107" t="str">
        <f t="shared" si="3"/>
        <v>中期</v>
      </c>
    </row>
    <row r="108" spans="1:4">
      <c r="A108">
        <v>0</v>
      </c>
      <c r="B108">
        <v>-1000000</v>
      </c>
      <c r="C108" s="2" t="s">
        <v>7</v>
      </c>
      <c r="D108" t="str">
        <f t="shared" si="3"/>
        <v>不提供借贷</v>
      </c>
    </row>
    <row r="109" spans="1:4">
      <c r="A109">
        <v>0</v>
      </c>
      <c r="B109">
        <v>-1000000</v>
      </c>
      <c r="C109" s="2" t="s">
        <v>7</v>
      </c>
      <c r="D109" t="str">
        <f t="shared" si="3"/>
        <v>不提供借贷</v>
      </c>
    </row>
    <row r="110" spans="1:4">
      <c r="A110">
        <v>0</v>
      </c>
      <c r="B110">
        <v>-1000000</v>
      </c>
      <c r="C110" s="2" t="s">
        <v>7</v>
      </c>
      <c r="D110" t="str">
        <f t="shared" si="3"/>
        <v>不提供借贷</v>
      </c>
    </row>
    <row r="111" spans="1:4">
      <c r="A111">
        <v>0.0448655917477846</v>
      </c>
      <c r="B111">
        <v>0.00172170629436814</v>
      </c>
      <c r="C111" s="2" t="s">
        <v>5</v>
      </c>
      <c r="D111" t="str">
        <f t="shared" si="3"/>
        <v>短期</v>
      </c>
    </row>
    <row r="112" spans="1:4">
      <c r="A112">
        <v>0</v>
      </c>
      <c r="B112">
        <v>-1000000</v>
      </c>
      <c r="C112" s="2" t="s">
        <v>7</v>
      </c>
      <c r="D112" t="str">
        <f t="shared" si="3"/>
        <v>不提供借贷</v>
      </c>
    </row>
    <row r="113" spans="1:4">
      <c r="A113">
        <v>0</v>
      </c>
      <c r="B113">
        <v>-1000000</v>
      </c>
      <c r="C113" s="2" t="s">
        <v>7</v>
      </c>
      <c r="D113" t="str">
        <f t="shared" si="3"/>
        <v>不提供借贷</v>
      </c>
    </row>
    <row r="114" spans="1:4">
      <c r="A114">
        <v>0</v>
      </c>
      <c r="B114">
        <v>-1000000</v>
      </c>
      <c r="C114" s="2" t="s">
        <v>7</v>
      </c>
      <c r="D114" t="str">
        <f t="shared" si="3"/>
        <v>不提供借贷</v>
      </c>
    </row>
    <row r="115" spans="1:4">
      <c r="A115">
        <v>0</v>
      </c>
      <c r="B115">
        <v>-1000000</v>
      </c>
      <c r="C115" s="2" t="s">
        <v>7</v>
      </c>
      <c r="D115" t="str">
        <f t="shared" si="3"/>
        <v>不提供借贷</v>
      </c>
    </row>
    <row r="116" spans="1:4">
      <c r="A116">
        <v>0</v>
      </c>
      <c r="B116">
        <v>-1000000</v>
      </c>
      <c r="C116" s="2" t="s">
        <v>7</v>
      </c>
      <c r="D116" t="str">
        <f t="shared" si="3"/>
        <v>不提供借贷</v>
      </c>
    </row>
    <row r="117" spans="1:4">
      <c r="A117">
        <v>0</v>
      </c>
      <c r="B117">
        <v>-1000000</v>
      </c>
      <c r="C117" s="2" t="s">
        <v>7</v>
      </c>
      <c r="D117" t="str">
        <f t="shared" si="3"/>
        <v>不提供借贷</v>
      </c>
    </row>
    <row r="118" spans="1:4">
      <c r="A118">
        <v>0</v>
      </c>
      <c r="B118">
        <v>-1000000</v>
      </c>
      <c r="C118" s="2" t="s">
        <v>7</v>
      </c>
      <c r="D118" t="str">
        <f t="shared" si="3"/>
        <v>不提供借贷</v>
      </c>
    </row>
    <row r="119" spans="1:4">
      <c r="A119">
        <v>0</v>
      </c>
      <c r="B119">
        <v>-1000000</v>
      </c>
      <c r="C119" s="2" t="s">
        <v>7</v>
      </c>
      <c r="D119" t="str">
        <f t="shared" si="3"/>
        <v>不提供借贷</v>
      </c>
    </row>
    <row r="120" spans="1:4">
      <c r="A120">
        <v>0</v>
      </c>
      <c r="B120">
        <v>-1000000</v>
      </c>
      <c r="C120" s="2" t="s">
        <v>7</v>
      </c>
      <c r="D120" t="str">
        <f t="shared" si="3"/>
        <v>不提供借贷</v>
      </c>
    </row>
    <row r="121" spans="1:4">
      <c r="A121">
        <v>0</v>
      </c>
      <c r="B121">
        <v>-1000000</v>
      </c>
      <c r="C121" s="2" t="s">
        <v>7</v>
      </c>
      <c r="D121" t="str">
        <f t="shared" si="3"/>
        <v>不提供借贷</v>
      </c>
    </row>
    <row r="122" spans="1:4">
      <c r="A122">
        <v>0</v>
      </c>
      <c r="B122">
        <v>-1000000</v>
      </c>
      <c r="C122" s="2" t="s">
        <v>7</v>
      </c>
      <c r="D122" t="str">
        <f t="shared" si="3"/>
        <v>不提供借贷</v>
      </c>
    </row>
    <row r="123" spans="1:4">
      <c r="A123">
        <v>0</v>
      </c>
      <c r="B123">
        <v>-1000000</v>
      </c>
      <c r="C123" s="2" t="s">
        <v>7</v>
      </c>
      <c r="D123" t="str">
        <f t="shared" si="3"/>
        <v>不提供借贷</v>
      </c>
    </row>
    <row r="124" spans="1:4">
      <c r="A124">
        <v>0</v>
      </c>
      <c r="B124">
        <v>-1000000</v>
      </c>
      <c r="C124" s="2" t="s">
        <v>7</v>
      </c>
      <c r="D124" t="str">
        <f t="shared" si="3"/>
        <v>不提供借贷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11715</dc:creator>
  <cp:lastModifiedBy>Utopian</cp:lastModifiedBy>
  <dcterms:created xsi:type="dcterms:W3CDTF">2020-09-11T18:50:00Z</dcterms:created>
  <dcterms:modified xsi:type="dcterms:W3CDTF">2020-09-13T03:27:33Z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2052-11.1.0.9999</vt:lpwstr>
  </property>
</Properties>
</file>