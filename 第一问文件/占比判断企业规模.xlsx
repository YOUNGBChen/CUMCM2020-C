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348" windowHeight="100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<sst xmlns="http://schemas.openxmlformats.org/spreadsheetml/2006/main" count="130" uniqueCount="130">
  <si>
    <t>企业代号</t>
  </si>
  <si>
    <t>月均销项金额</t>
  </si>
  <si>
    <t>月均销项税额</t>
  </si>
  <si>
    <t>和</t>
  </si>
  <si>
    <t>是否违约</t>
  </si>
  <si>
    <t>所占百分比</t>
  </si>
  <si>
    <t>风险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</si>
  <si>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</si>
  <si>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</si>
  <si>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</si>
  <si>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</si>
  <si>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</si>
  <si>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</si>
  <si>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</si>
  <si>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</si>
  <si>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</si>
  <si>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</si>
  <si>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</si>
  <si>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</si>
  <si>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</si>
  <si>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</si>
  <si>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</si>
  <si>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</si>
  <si>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</si>
  <si>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</si>
  <si>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</si>
  <si>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</si>
  <si>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</si>
  <si>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</si>
  <si>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</si>
  <si>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</si>
  <si>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</si>
  <si>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</si>
  <si>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</si>
  <si>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</si>
  <si>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</si>
  <si>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</si>
  <si>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</si>
  <si>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</si>
  <si>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</si>
  <si>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</si>
  <si>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</si>
  <si>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</si>
  <si>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</si>
  <si>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</si>
  <si>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</si>
  <si>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</si>
  <si>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</si>
  <si>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</si>
  <si>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</si>
  <si>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</si>
  <si>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</si>
  <si>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</si>
  <si>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</si>
  <si>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</si>
  <si>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</si>
  <si>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</si>
  <si>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</si>
  <si>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</si>
  <si>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</si>
  <si>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</si>
  <si>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</si>
  <si>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</si>
  <si>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</si>
  <si>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</si>
  <si>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</si>
  <si>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</si>
  <si>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</si>
  <si>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</si>
  <si>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</si>
  <si>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</si>
  <si>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</si>
  <si>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</si>
  <si>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E67</t>
  </si>
  <si>
    <t>E68</t>
  </si>
  <si>
    <t>E69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</si>
  <si>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</si>
  <si>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</si>
  <si>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</si>
  <si>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</si>
  <si>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</si>
  <si>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</si>
  <si>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</si>
  <si>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</si>
  <si>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</si>
  <si>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</si>
  <si>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</si>
  <si>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E81</t>
  </si>
  <si>
    <t>E82</t>
  </si>
  <si>
    <t>E83</t>
  </si>
  <si>
    <t>E84</t>
  </si>
  <si>
    <t>E85</t>
  </si>
  <si>
    <t>E86</t>
  </si>
  <si>
    <t>E87</t>
  </si>
  <si>
    <t>E88</t>
  </si>
  <si>
    <t>E89</t>
  </si>
  <si>
    <t>E90</t>
  </si>
  <si>
    <t>E91</t>
  </si>
  <si>
    <t>E92</t>
  </si>
  <si>
    <t>E93</t>
  </si>
  <si>
    <t>E94</t>
  </si>
  <si>
    <t>E95</t>
  </si>
  <si>
    <t>E96</t>
  </si>
  <si>
    <t>E97</t>
  </si>
  <si>
    <t>E98</t>
  </si>
  <si>
    <t>E99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</si>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</sst>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8" fillId="8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0" borderId="7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1" fillId="10" borderId="5" applyNumberFormat="0" applyAlignment="0" applyProtection="0">
      <alignment vertical="center"/>
    </xf>
    <xf numFmtId="0" fontId="12" fillId="10" borderId="3" applyNumberFormat="0" applyAlignment="0" applyProtection="0">
      <alignment vertical="center"/>
    </xf>
    <xf numFmtId="0" fontId="14" fillId="20" borderId="6" applyNumberForma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val>
            <c:numRef>
              <c:f>Sheet1!$H$2:$H$124</c:f>
              <c:numCache>
                <c:formatCode>General</c:formatCode>
                <c:ptCount val="123"/>
                <c:pt idx="0">
                  <c:v>0.335851948354231</c:v>
                </c:pt>
                <c:pt idx="1">
                  <c:v>0.03629737527517</c:v>
                </c:pt>
                <c:pt idx="2">
                  <c:v>0.0373045320809367</c:v>
                </c:pt>
                <c:pt idx="3">
                  <c:v>0.1315129807805</c:v>
                </c:pt>
                <c:pt idx="4">
                  <c:v>0.0151593663281573</c:v>
                </c:pt>
                <c:pt idx="5">
                  <c:v>0.0229444963489112</c:v>
                </c:pt>
                <c:pt idx="6">
                  <c:v>0.0336456014913599</c:v>
                </c:pt>
                <c:pt idx="7">
                  <c:v>0.0214883927723164</c:v>
                </c:pt>
                <c:pt idx="8">
                  <c:v>0.0208461091987156</c:v>
                </c:pt>
                <c:pt idx="9">
                  <c:v>0.0215331375360367</c:v>
                </c:pt>
                <c:pt idx="10">
                  <c:v>0.0158436032991725</c:v>
                </c:pt>
                <c:pt idx="11">
                  <c:v>0.0325678621212408</c:v>
                </c:pt>
                <c:pt idx="12">
                  <c:v>0.0137678039555531</c:v>
                </c:pt>
                <c:pt idx="13">
                  <c:v>0.0144005997858158</c:v>
                </c:pt>
                <c:pt idx="14">
                  <c:v>0.0162380391698637</c:v>
                </c:pt>
                <c:pt idx="15">
                  <c:v>0.0127206186585503</c:v>
                </c:pt>
                <c:pt idx="16">
                  <c:v>0.00974165389183502</c:v>
                </c:pt>
                <c:pt idx="17">
                  <c:v>0.0114553060927157</c:v>
                </c:pt>
                <c:pt idx="18">
                  <c:v>0.0121194071276764</c:v>
                </c:pt>
                <c:pt idx="19">
                  <c:v>0.0136088431115483</c:v>
                </c:pt>
                <c:pt idx="20">
                  <c:v>0.00818154102031091</c:v>
                </c:pt>
                <c:pt idx="21">
                  <c:v>0.00712196578943647</c:v>
                </c:pt>
                <c:pt idx="22">
                  <c:v>0.012289183786437</c:v>
                </c:pt>
                <c:pt idx="23">
                  <c:v>0.00945040310765621</c:v>
                </c:pt>
                <c:pt idx="24">
                  <c:v>0.0027645708656035</c:v>
                </c:pt>
                <c:pt idx="25">
                  <c:v>0.00252731038394872</c:v>
                </c:pt>
                <c:pt idx="26">
                  <c:v>0.00282010881623898</c:v>
                </c:pt>
                <c:pt idx="27">
                  <c:v>0.00461239072054877</c:v>
                </c:pt>
                <c:pt idx="28">
                  <c:v>0.00671561573778557</c:v>
                </c:pt>
                <c:pt idx="29">
                  <c:v>0.00697886405818659</c:v>
                </c:pt>
                <c:pt idx="30">
                  <c:v>0.0031453606914401</c:v>
                </c:pt>
                <c:pt idx="31">
                  <c:v>0.0032505094532422</c:v>
                </c:pt>
                <c:pt idx="32">
                  <c:v>0.00469491052764565</c:v>
                </c:pt>
                <c:pt idx="33">
                  <c:v>0.00585524841471867</c:v>
                </c:pt>
                <c:pt idx="34">
                  <c:v>0.00223901602941807</c:v>
                </c:pt>
                <c:pt idx="35">
                  <c:v>0.00269195306705194</c:v>
                </c:pt>
                <c:pt idx="36">
                  <c:v>0.00290295517394272</c:v>
                </c:pt>
                <c:pt idx="37">
                  <c:v>0.00429844538045157</c:v>
                </c:pt>
                <c:pt idx="38">
                  <c:v>0.00294112075820689</c:v>
                </c:pt>
                <c:pt idx="39">
                  <c:v>0.00211420052671562</c:v>
                </c:pt>
                <c:pt idx="40">
                  <c:v>0.00188095400660462</c:v>
                </c:pt>
                <c:pt idx="41">
                  <c:v>0.0029609599837911</c:v>
                </c:pt>
                <c:pt idx="42">
                  <c:v>0.00325207715343964</c:v>
                </c:pt>
                <c:pt idx="43">
                  <c:v>0.00218727690725004</c:v>
                </c:pt>
                <c:pt idx="44">
                  <c:v>0.00260361246066185</c:v>
                </c:pt>
                <c:pt idx="45">
                  <c:v>0.00359973269123225</c:v>
                </c:pt>
                <c:pt idx="46">
                  <c:v>0.00333756649625149</c:v>
                </c:pt>
                <c:pt idx="47">
                  <c:v>0.0034159345981135</c:v>
                </c:pt>
                <c:pt idx="48">
                  <c:v>0.00289903843829726</c:v>
                </c:pt>
                <c:pt idx="49">
                  <c:v>0.0033205369087355</c:v>
                </c:pt>
                <c:pt idx="50">
                  <c:v>0.00176494308877741</c:v>
                </c:pt>
                <c:pt idx="51">
                  <c:v>0.00182443034949015</c:v>
                </c:pt>
                <c:pt idx="52">
                  <c:v>0.00272528886599548</c:v>
                </c:pt>
                <c:pt idx="53">
                  <c:v>0.00211676355272667</c:v>
                </c:pt>
                <c:pt idx="54">
                  <c:v>0.00196015991848782</c:v>
                </c:pt>
                <c:pt idx="55">
                  <c:v>0.00184671318877522</c:v>
                </c:pt>
                <c:pt idx="56">
                  <c:v>0.00281737912973151</c:v>
                </c:pt>
                <c:pt idx="57">
                  <c:v>0.00198714541917926</c:v>
                </c:pt>
                <c:pt idx="58">
                  <c:v>0.0017927359306696</c:v>
                </c:pt>
                <c:pt idx="59">
                  <c:v>0.000838234656655736</c:v>
                </c:pt>
                <c:pt idx="60">
                  <c:v>0.00108306395708056</c:v>
                </c:pt>
                <c:pt idx="61">
                  <c:v>0.000798981307980196</c:v>
                </c:pt>
                <c:pt idx="62">
                  <c:v>0.00512578726318776</c:v>
                </c:pt>
                <c:pt idx="63">
                  <c:v>0.000547983556121377</c:v>
                </c:pt>
                <c:pt idx="64">
                  <c:v>0.000486267162100341</c:v>
                </c:pt>
                <c:pt idx="65">
                  <c:v>0.000399480919392952</c:v>
                </c:pt>
                <c:pt idx="66">
                  <c:v>0.000496754562399694</c:v>
                </c:pt>
                <c:pt idx="67">
                  <c:v>0.001064509684178</c:v>
                </c:pt>
                <c:pt idx="68">
                  <c:v>0.000423047631189306</c:v>
                </c:pt>
                <c:pt idx="69">
                  <c:v>0.000654460824697895</c:v>
                </c:pt>
                <c:pt idx="70">
                  <c:v>0.00154233796758238</c:v>
                </c:pt>
                <c:pt idx="71">
                  <c:v>0.000529062736879149</c:v>
                </c:pt>
                <c:pt idx="72">
                  <c:v>0.000413224717978642</c:v>
                </c:pt>
                <c:pt idx="73">
                  <c:v>0.000305329178930666</c:v>
                </c:pt>
                <c:pt idx="74">
                  <c:v>0.000385098003975415</c:v>
                </c:pt>
                <c:pt idx="75">
                  <c:v>0.000255952981054346</c:v>
                </c:pt>
                <c:pt idx="76">
                  <c:v>0.000654290204969749</c:v>
                </c:pt>
                <c:pt idx="77">
                  <c:v>0.000672730224613057</c:v>
                </c:pt>
                <c:pt idx="78">
                  <c:v>0.00031248846883813</c:v>
                </c:pt>
                <c:pt idx="79">
                  <c:v>0.00101300598023323</c:v>
                </c:pt>
                <c:pt idx="80">
                  <c:v>0.000226617409980044</c:v>
                </c:pt>
                <c:pt idx="81">
                  <c:v>0.000280521473314057</c:v>
                </c:pt>
                <c:pt idx="82">
                  <c:v>0.000311032245139791</c:v>
                </c:pt>
                <c:pt idx="83">
                  <c:v>0.00037371528164716</c:v>
                </c:pt>
                <c:pt idx="84">
                  <c:v>0.00015875659970059</c:v>
                </c:pt>
                <c:pt idx="85">
                  <c:v>0.000367683588396878</c:v>
                </c:pt>
                <c:pt idx="86">
                  <c:v>0.000421858991985404</c:v>
                </c:pt>
                <c:pt idx="87">
                  <c:v>0.000166719627646401</c:v>
                </c:pt>
                <c:pt idx="88">
                  <c:v>0.000201233765116982</c:v>
                </c:pt>
                <c:pt idx="89">
                  <c:v>0.000230784617520026</c:v>
                </c:pt>
                <c:pt idx="90">
                  <c:v>0.000156165315318793</c:v>
                </c:pt>
                <c:pt idx="91">
                  <c:v>0.000406684894557816</c:v>
                </c:pt>
                <c:pt idx="92">
                  <c:v>9.31471093931806e-5</c:v>
                </c:pt>
                <c:pt idx="93">
                  <c:v>9.69246744369994e-5</c:v>
                </c:pt>
                <c:pt idx="94">
                  <c:v>0.000145821363316634</c:v>
                </c:pt>
                <c:pt idx="95">
                  <c:v>0.000794136672903044</c:v>
                </c:pt>
                <c:pt idx="96">
                  <c:v>0.0001129222895478</c:v>
                </c:pt>
                <c:pt idx="97">
                  <c:v>9.99624782266614e-5</c:v>
                </c:pt>
                <c:pt idx="98">
                  <c:v>0.000529658812780931</c:v>
                </c:pt>
                <c:pt idx="99">
                  <c:v>5.11310806268516e-5</c:v>
                </c:pt>
                <c:pt idx="100">
                  <c:v>0.000210349856171972</c:v>
                </c:pt>
                <c:pt idx="101">
                  <c:v>4.09185808010869e-5</c:v>
                </c:pt>
                <c:pt idx="102">
                  <c:v>0.000244249465884843</c:v>
                </c:pt>
                <c:pt idx="103">
                  <c:v>5.8011352920096e-5</c:v>
                </c:pt>
                <c:pt idx="104">
                  <c:v>8.88104027709367e-5</c:v>
                </c:pt>
                <c:pt idx="105">
                  <c:v>4.04531953324355e-5</c:v>
                </c:pt>
                <c:pt idx="106">
                  <c:v>0.000162581425469063</c:v>
                </c:pt>
                <c:pt idx="107">
                  <c:v>0.000105725095637161</c:v>
                </c:pt>
                <c:pt idx="108">
                  <c:v>8.16298626565455e-5</c:v>
                </c:pt>
                <c:pt idx="109">
                  <c:v>2.07111934853001e-5</c:v>
                </c:pt>
                <c:pt idx="110">
                  <c:v>6.28398640035096e-5</c:v>
                </c:pt>
                <c:pt idx="111">
                  <c:v>0.000234765102617011</c:v>
                </c:pt>
                <c:pt idx="112">
                  <c:v>0.000141313279763218</c:v>
                </c:pt>
                <c:pt idx="113">
                  <c:v>2.02121627773741e-5</c:v>
                </c:pt>
                <c:pt idx="114">
                  <c:v>3.06643384008196e-5</c:v>
                </c:pt>
                <c:pt idx="115">
                  <c:v>3.4076774625602e-5</c:v>
                </c:pt>
                <c:pt idx="116">
                  <c:v>0.000112614889994976</c:v>
                </c:pt>
                <c:pt idx="117">
                  <c:v>2.0081296101474e-5</c:v>
                </c:pt>
                <c:pt idx="118">
                  <c:v>7.87880504561476e-6</c:v>
                </c:pt>
                <c:pt idx="119">
                  <c:v>7.01896770463203e-5</c:v>
                </c:pt>
                <c:pt idx="120">
                  <c:v>1.02113989166684e-5</c:v>
                </c:pt>
                <c:pt idx="121">
                  <c:v>5.00960277856057e-6</c:v>
                </c:pt>
                <c:pt idx="122">
                  <c:v>3.25313177025126e-5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321310</xdr:colOff>
      <xdr:row>122</xdr:row>
      <xdr:rowOff>137160</xdr:rowOff>
    </xdr:from>
    <xdr:to>
      <xdr:col>11</xdr:col>
      <xdr:colOff>328930</xdr:colOff>
      <xdr:row>157</xdr:row>
      <xdr:rowOff>113030</xdr:rowOff>
    </xdr:to>
    <xdr:graphicFrame>
      <xdr:nvGraphicFramePr>
        <xdr:cNvPr id="2" name="图表 1"/>
        <xdr:cNvGraphicFramePr/>
      </xdr:nvGraphicFramePr>
      <xdr:xfrm>
        <a:off x="2553335" y="22448520"/>
        <a:ext cx="7329805" cy="63766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4"/>
  <sheetViews>
    <sheetView tabSelected="1" zoomScale="85" zoomScaleNormal="85" workbookViewId="0">
      <selection activeCell="G18" sqref="G18"/>
    </sheetView>
  </sheetViews>
  <sheetFormatPr defaultColWidth="8.88888888888889" defaultRowHeight="14.4"/>
  <cols>
    <col min="1" max="1" width="18.8796296296296" style="1" customWidth="1"/>
    <col min="2" max="2" width="13.6666666666667" customWidth="1"/>
    <col min="3" max="3" width="18.7777777777778" customWidth="1"/>
    <col min="5" max="5" width="12.8888888888889"/>
    <col min="6" max="6" width="8.87962962962963" style="1"/>
    <col min="7" max="7" width="12.8888888888889"/>
    <col min="8" max="8" width="14.7777777777778" customWidth="1"/>
    <col min="9" max="9" width="11.8888888888889" customWidth="1"/>
  </cols>
  <sheetData>
    <row r="1" spans="1:9">
      <c r="A1" s="2" t="s">
        <v>0</v>
      </c>
      <c r="B1" t="s">
        <v>1</v>
      </c>
      <c r="C1" t="s">
        <v>2</v>
      </c>
      <c r="E1" t="s">
        <v>3</v>
      </c>
      <c r="F1" s="1" t="s">
        <v>4</v>
      </c>
      <c r="G1">
        <f>SUM(G2:G124)</f>
        <v>466339753.138707</v>
      </c>
      <c r="H1" t="s">
        <v>5</v>
      </c>
      <c r="I1" t="s">
        <v>6</v>
      </c>
    </row>
    <row r="2" spans="1:9">
      <c r="A2" s="3" t="s">
        <v>7</v>
      </c>
      <c r="B2">
        <v>135528110.059333</v>
      </c>
      <c r="C2">
        <v>21093004.6273333</v>
      </c>
      <c r="E2">
        <f t="shared" ref="E2:E65" si="0">C2+B2</f>
        <v>156621114.686666</v>
      </c>
      <c r="F2" s="1">
        <v>0</v>
      </c>
      <c r="G2">
        <f t="shared" ref="G2:G65" si="1">E2+D2</f>
        <v>156621114.686666</v>
      </c>
      <c r="H2">
        <f>G2/$G$1</f>
        <v>0.335851948354231</v>
      </c>
      <c r="I2">
        <v>0.00183482838616494</v>
      </c>
    </row>
    <row r="3" spans="1:9">
      <c r="A3" s="3" t="s">
        <v>8</v>
      </c>
      <c r="B3">
        <v>15968694.9402707</v>
      </c>
      <c r="C3">
        <v>958214.085135113</v>
      </c>
      <c r="E3">
        <f t="shared" si="0"/>
        <v>16926909.0254058</v>
      </c>
      <c r="F3" s="1">
        <v>0</v>
      </c>
      <c r="G3">
        <f t="shared" si="1"/>
        <v>16926909.0254058</v>
      </c>
      <c r="H3">
        <f>G3/$G$1</f>
        <v>0.03629737527517</v>
      </c>
      <c r="I3">
        <v>0</v>
      </c>
    </row>
    <row r="4" spans="1:9">
      <c r="A4" s="3" t="s">
        <v>9</v>
      </c>
      <c r="B4">
        <v>15004684.0863158</v>
      </c>
      <c r="C4">
        <v>2391902.19526316</v>
      </c>
      <c r="E4">
        <f t="shared" si="0"/>
        <v>17396586.281579</v>
      </c>
      <c r="F4" s="1">
        <v>0</v>
      </c>
      <c r="G4">
        <f t="shared" si="1"/>
        <v>17396586.281579</v>
      </c>
      <c r="H4">
        <f>G4/$G$1</f>
        <v>0.0373045320809367</v>
      </c>
      <c r="I4">
        <v>0.0196184493176083</v>
      </c>
    </row>
    <row r="5" spans="1:9">
      <c r="A5" s="3" t="s">
        <v>10</v>
      </c>
      <c r="B5">
        <v>52570562.5702854</v>
      </c>
      <c r="C5">
        <v>8759168.42142854</v>
      </c>
      <c r="E5">
        <f t="shared" si="0"/>
        <v>61329730.9917139</v>
      </c>
      <c r="F5" s="1">
        <v>0</v>
      </c>
      <c r="G5">
        <f t="shared" si="1"/>
        <v>61329730.9917139</v>
      </c>
      <c r="H5">
        <f>G5/$G$1</f>
        <v>0.1315129807805</v>
      </c>
      <c r="I5">
        <v>0</v>
      </c>
    </row>
    <row r="6" spans="1:9">
      <c r="A6" s="3" t="s">
        <v>11</v>
      </c>
      <c r="B6">
        <v>6140372.38999999</v>
      </c>
      <c r="C6">
        <v>929042.761212122</v>
      </c>
      <c r="E6">
        <f t="shared" si="0"/>
        <v>7069415.15121211</v>
      </c>
      <c r="F6" s="1">
        <v>0</v>
      </c>
      <c r="G6">
        <f t="shared" si="1"/>
        <v>7069415.15121211</v>
      </c>
      <c r="H6">
        <f>G6/$G$1</f>
        <v>0.0151593663281573</v>
      </c>
      <c r="I6">
        <v>0.0311855774049419</v>
      </c>
    </row>
    <row r="7" spans="1:9">
      <c r="A7" s="3" t="s">
        <v>12</v>
      </c>
      <c r="B7">
        <v>9903764.54864865</v>
      </c>
      <c r="C7">
        <v>796166.214594592</v>
      </c>
      <c r="E7">
        <f t="shared" si="0"/>
        <v>10699930.7632432</v>
      </c>
      <c r="F7" s="1">
        <v>0</v>
      </c>
      <c r="G7">
        <f t="shared" si="1"/>
        <v>10699930.7632432</v>
      </c>
      <c r="H7">
        <f>G7/$G$1</f>
        <v>0.0229444963489112</v>
      </c>
      <c r="I7">
        <v>0</v>
      </c>
    </row>
    <row r="8" spans="1:9">
      <c r="A8" s="3" t="s">
        <v>13</v>
      </c>
      <c r="B8">
        <v>13498700.6971052</v>
      </c>
      <c r="C8">
        <v>2191580.79657895</v>
      </c>
      <c r="E8">
        <f t="shared" si="0"/>
        <v>15690281.4936841</v>
      </c>
      <c r="F8" s="1">
        <v>0</v>
      </c>
      <c r="G8">
        <f t="shared" si="1"/>
        <v>15690281.4936841</v>
      </c>
      <c r="H8">
        <f>G8/$G$1</f>
        <v>0.0336456014913599</v>
      </c>
      <c r="I8">
        <v>0</v>
      </c>
    </row>
    <row r="9" spans="1:9">
      <c r="A9" s="3" t="s">
        <v>14</v>
      </c>
      <c r="B9">
        <v>9444442.96815805</v>
      </c>
      <c r="C9">
        <v>576448.812631574</v>
      </c>
      <c r="E9">
        <f t="shared" si="0"/>
        <v>10020891.7807896</v>
      </c>
      <c r="F9" s="1">
        <v>0</v>
      </c>
      <c r="G9">
        <f t="shared" si="1"/>
        <v>10020891.7807896</v>
      </c>
      <c r="H9">
        <f>G9/$G$1</f>
        <v>0.0214883927723164</v>
      </c>
      <c r="I9">
        <v>0</v>
      </c>
    </row>
    <row r="10" spans="1:9">
      <c r="A10" s="3" t="s">
        <v>15</v>
      </c>
      <c r="B10">
        <v>8410319.35157896</v>
      </c>
      <c r="C10">
        <v>1311050.06605263</v>
      </c>
      <c r="E10">
        <f t="shared" si="0"/>
        <v>9721369.41763159</v>
      </c>
      <c r="F10" s="1">
        <v>0</v>
      </c>
      <c r="G10">
        <f t="shared" si="1"/>
        <v>9721369.41763159</v>
      </c>
      <c r="H10">
        <f>G10/$G$1</f>
        <v>0.0208461091987156</v>
      </c>
      <c r="I10">
        <v>0</v>
      </c>
    </row>
    <row r="11" spans="1:9">
      <c r="A11" s="3" t="s">
        <v>16</v>
      </c>
      <c r="B11">
        <v>9738045.27057144</v>
      </c>
      <c r="C11">
        <v>303712.772285715</v>
      </c>
      <c r="E11">
        <f t="shared" si="0"/>
        <v>10041758.0428572</v>
      </c>
      <c r="F11" s="1">
        <v>0</v>
      </c>
      <c r="G11">
        <f t="shared" si="1"/>
        <v>10041758.0428572</v>
      </c>
      <c r="H11">
        <f>G11/$G$1</f>
        <v>0.0215331375360367</v>
      </c>
      <c r="I11">
        <v>0.0427958889730571</v>
      </c>
    </row>
    <row r="12" spans="1:9">
      <c r="A12" s="3" t="s">
        <v>17</v>
      </c>
      <c r="B12">
        <v>6747233.05181826</v>
      </c>
      <c r="C12">
        <v>641268.999545459</v>
      </c>
      <c r="E12">
        <f t="shared" si="0"/>
        <v>7388502.05136372</v>
      </c>
      <c r="F12" s="1">
        <v>0</v>
      </c>
      <c r="G12">
        <f t="shared" si="1"/>
        <v>7388502.05136372</v>
      </c>
      <c r="H12">
        <f>G12/$G$1</f>
        <v>0.0158436032991725</v>
      </c>
      <c r="I12">
        <v>0.0864867092423039</v>
      </c>
    </row>
    <row r="13" spans="1:9">
      <c r="A13" s="3" t="s">
        <v>18</v>
      </c>
      <c r="B13">
        <v>13980275.1931249</v>
      </c>
      <c r="C13">
        <v>1207413.58874999</v>
      </c>
      <c r="E13">
        <f t="shared" si="0"/>
        <v>15187688.7818749</v>
      </c>
      <c r="F13" s="1">
        <v>0</v>
      </c>
      <c r="G13">
        <f t="shared" si="1"/>
        <v>15187688.7818749</v>
      </c>
      <c r="H13">
        <f>G13/$G$1</f>
        <v>0.0325678621212408</v>
      </c>
      <c r="I13">
        <v>0.0235451786258037</v>
      </c>
    </row>
    <row r="14" spans="1:9">
      <c r="A14" s="3" t="s">
        <v>19</v>
      </c>
      <c r="B14">
        <v>5590915.02657895</v>
      </c>
      <c r="C14">
        <v>829559.271315789</v>
      </c>
      <c r="E14">
        <f t="shared" si="0"/>
        <v>6420474.29789474</v>
      </c>
      <c r="F14" s="1">
        <v>0</v>
      </c>
      <c r="G14">
        <f t="shared" si="1"/>
        <v>6420474.29789474</v>
      </c>
      <c r="H14">
        <f>G14/$G$1</f>
        <v>0.0137678039555531</v>
      </c>
      <c r="I14">
        <v>0.00338239924300837</v>
      </c>
    </row>
    <row r="15" spans="1:9">
      <c r="A15" s="3" t="s">
        <v>20</v>
      </c>
      <c r="B15">
        <v>5807889.77194443</v>
      </c>
      <c r="C15">
        <v>907682.377222222</v>
      </c>
      <c r="E15">
        <f t="shared" si="0"/>
        <v>6715572.14916665</v>
      </c>
      <c r="F15" s="1">
        <v>0</v>
      </c>
      <c r="G15">
        <f t="shared" si="1"/>
        <v>6715572.14916665</v>
      </c>
      <c r="H15">
        <f>G15/$G$1</f>
        <v>0.0144005997858158</v>
      </c>
      <c r="I15">
        <v>0.0645863686032632</v>
      </c>
    </row>
    <row r="16" spans="1:9">
      <c r="A16" s="3" t="s">
        <v>21</v>
      </c>
      <c r="B16">
        <v>7304287.55862054</v>
      </c>
      <c r="C16">
        <v>268155.619310351</v>
      </c>
      <c r="E16">
        <f t="shared" si="0"/>
        <v>7572443.17793089</v>
      </c>
      <c r="F16" s="1">
        <v>0</v>
      </c>
      <c r="G16">
        <f t="shared" si="1"/>
        <v>7572443.17793089</v>
      </c>
      <c r="H16">
        <f>G16/$G$1</f>
        <v>0.0162380391698637</v>
      </c>
      <c r="I16">
        <v>0</v>
      </c>
    </row>
    <row r="17" spans="1:9">
      <c r="A17" s="3" t="s">
        <v>22</v>
      </c>
      <c r="B17">
        <v>5816956.54166667</v>
      </c>
      <c r="C17">
        <v>115173.623333333</v>
      </c>
      <c r="E17">
        <f t="shared" si="0"/>
        <v>5932130.165</v>
      </c>
      <c r="F17" s="1">
        <v>0</v>
      </c>
      <c r="G17">
        <f t="shared" si="1"/>
        <v>5932130.165</v>
      </c>
      <c r="H17">
        <f>G17/$G$1</f>
        <v>0.0127206186585503</v>
      </c>
      <c r="I17">
        <v>0</v>
      </c>
    </row>
    <row r="18" spans="1:9">
      <c r="A18" s="3" t="s">
        <v>23</v>
      </c>
      <c r="B18">
        <v>4188669.49837837</v>
      </c>
      <c r="C18">
        <v>354250.972702703</v>
      </c>
      <c r="E18">
        <f t="shared" si="0"/>
        <v>4542920.47108107</v>
      </c>
      <c r="F18" s="1">
        <v>0</v>
      </c>
      <c r="G18">
        <f t="shared" si="1"/>
        <v>4542920.47108107</v>
      </c>
      <c r="H18">
        <f>G18/$G$1</f>
        <v>0.00974165389183502</v>
      </c>
      <c r="I18">
        <v>0.00212352259542153</v>
      </c>
    </row>
    <row r="19" spans="1:9">
      <c r="A19" s="3" t="s">
        <v>24</v>
      </c>
      <c r="B19">
        <v>5073688.50108107</v>
      </c>
      <c r="C19">
        <v>268376.114324324</v>
      </c>
      <c r="E19">
        <f t="shared" si="0"/>
        <v>5342064.61540539</v>
      </c>
      <c r="F19" s="1">
        <v>0</v>
      </c>
      <c r="G19">
        <f t="shared" si="1"/>
        <v>5342064.61540539</v>
      </c>
      <c r="H19">
        <f>G19/$G$1</f>
        <v>0.0114553060927157</v>
      </c>
      <c r="I19">
        <v>0</v>
      </c>
    </row>
    <row r="20" spans="1:9">
      <c r="A20" s="3" t="s">
        <v>25</v>
      </c>
      <c r="B20">
        <v>4876861.78567567</v>
      </c>
      <c r="C20">
        <v>774899.542432432</v>
      </c>
      <c r="E20">
        <f t="shared" si="0"/>
        <v>5651761.3281081</v>
      </c>
      <c r="F20" s="1">
        <v>0</v>
      </c>
      <c r="G20">
        <f t="shared" si="1"/>
        <v>5651761.3281081</v>
      </c>
      <c r="H20">
        <f>G20/$G$1</f>
        <v>0.0121194071276764</v>
      </c>
      <c r="I20">
        <v>0.00806746897428973</v>
      </c>
    </row>
    <row r="21" spans="1:9">
      <c r="A21" s="3" t="s">
        <v>26</v>
      </c>
      <c r="B21">
        <v>5480754.38857142</v>
      </c>
      <c r="C21">
        <v>865590.14857143</v>
      </c>
      <c r="E21">
        <f t="shared" si="0"/>
        <v>6346344.53714285</v>
      </c>
      <c r="F21" s="1">
        <v>0</v>
      </c>
      <c r="G21">
        <f t="shared" si="1"/>
        <v>6346344.53714285</v>
      </c>
      <c r="H21">
        <f>G21/$G$1</f>
        <v>0.0136088431115483</v>
      </c>
      <c r="I21">
        <v>0.0313558352082128</v>
      </c>
    </row>
    <row r="22" spans="1:9">
      <c r="A22" s="3" t="s">
        <v>27</v>
      </c>
      <c r="B22">
        <v>3482733.47735305</v>
      </c>
      <c r="C22">
        <v>332644.34235295</v>
      </c>
      <c r="E22">
        <f t="shared" si="0"/>
        <v>3815377.819706</v>
      </c>
      <c r="F22" s="1">
        <v>0</v>
      </c>
      <c r="G22">
        <f t="shared" si="1"/>
        <v>3815377.819706</v>
      </c>
      <c r="H22">
        <f>G22/$G$1</f>
        <v>0.00818154102031091</v>
      </c>
      <c r="I22">
        <v>0.0410866431648674</v>
      </c>
    </row>
    <row r="23" spans="1:9">
      <c r="A23" s="3" t="s">
        <v>28</v>
      </c>
      <c r="B23">
        <v>3025243.06810812</v>
      </c>
      <c r="C23">
        <v>296012.700000001</v>
      </c>
      <c r="E23">
        <f t="shared" si="0"/>
        <v>3321255.76810812</v>
      </c>
      <c r="F23" s="1">
        <v>0</v>
      </c>
      <c r="G23">
        <f t="shared" si="1"/>
        <v>3321255.76810812</v>
      </c>
      <c r="H23">
        <f>G23/$G$1</f>
        <v>0.00712196578943647</v>
      </c>
      <c r="I23">
        <v>0.00197180240242162</v>
      </c>
    </row>
    <row r="24" spans="1:9">
      <c r="A24" s="3" t="s">
        <v>29</v>
      </c>
      <c r="B24">
        <v>4952403.56918918</v>
      </c>
      <c r="C24">
        <v>778531.364054054</v>
      </c>
      <c r="E24">
        <f t="shared" si="0"/>
        <v>5730934.93324323</v>
      </c>
      <c r="F24" s="1">
        <v>0</v>
      </c>
      <c r="G24">
        <f t="shared" si="1"/>
        <v>5730934.93324323</v>
      </c>
      <c r="H24">
        <f>G24/$G$1</f>
        <v>0.012289183786437</v>
      </c>
      <c r="I24">
        <v>0.0332492653571133</v>
      </c>
    </row>
    <row r="25" spans="1:9">
      <c r="A25" s="3" t="s">
        <v>30</v>
      </c>
      <c r="B25">
        <v>4014867.64742853</v>
      </c>
      <c r="C25">
        <v>392231.004857143</v>
      </c>
      <c r="E25">
        <f t="shared" si="0"/>
        <v>4407098.65228567</v>
      </c>
      <c r="F25" s="1">
        <v>0</v>
      </c>
      <c r="G25">
        <f t="shared" si="1"/>
        <v>4407098.65228567</v>
      </c>
      <c r="H25">
        <f>G25/$G$1</f>
        <v>0.00945040310765621</v>
      </c>
      <c r="I25">
        <v>0.000864312583058025</v>
      </c>
    </row>
    <row r="26" spans="1:9">
      <c r="A26" s="3" t="s">
        <v>31</v>
      </c>
      <c r="B26">
        <v>1117559.89470588</v>
      </c>
      <c r="C26">
        <v>171669.400294117</v>
      </c>
      <c r="E26">
        <f t="shared" si="0"/>
        <v>1289229.295</v>
      </c>
      <c r="F26" s="1">
        <v>0</v>
      </c>
      <c r="G26">
        <f t="shared" si="1"/>
        <v>1289229.295</v>
      </c>
      <c r="H26">
        <f>G26/$G$1</f>
        <v>0.0027645708656035</v>
      </c>
      <c r="I26">
        <v>0.081100794462188</v>
      </c>
    </row>
    <row r="27" spans="1:9">
      <c r="A27" s="3" t="s">
        <v>32</v>
      </c>
      <c r="B27">
        <v>1018000.09694443</v>
      </c>
      <c r="C27">
        <v>160585.203611111</v>
      </c>
      <c r="E27">
        <f t="shared" si="0"/>
        <v>1178585.30055554</v>
      </c>
      <c r="F27" s="1">
        <v>0</v>
      </c>
      <c r="G27">
        <f t="shared" si="1"/>
        <v>1178585.30055554</v>
      </c>
      <c r="H27">
        <f>G27/$G$1</f>
        <v>0.00252731038394872</v>
      </c>
      <c r="I27">
        <v>0.00473700669077509</v>
      </c>
    </row>
    <row r="28" spans="1:9">
      <c r="A28" s="3" t="s">
        <v>33</v>
      </c>
      <c r="B28">
        <v>1190762.71621621</v>
      </c>
      <c r="C28">
        <v>124366.132972972</v>
      </c>
      <c r="E28">
        <f t="shared" si="0"/>
        <v>1315128.84918918</v>
      </c>
      <c r="F28" s="1">
        <v>0</v>
      </c>
      <c r="G28">
        <f t="shared" si="1"/>
        <v>1315128.84918918</v>
      </c>
      <c r="H28">
        <f>G28/$G$1</f>
        <v>0.00282010881623898</v>
      </c>
      <c r="I28">
        <v>0.00401192059855732</v>
      </c>
    </row>
    <row r="29" spans="1:9">
      <c r="A29" s="3" t="s">
        <v>34</v>
      </c>
      <c r="B29">
        <v>1961185.01719998</v>
      </c>
      <c r="C29">
        <v>189756.132799998</v>
      </c>
      <c r="E29">
        <f t="shared" si="0"/>
        <v>2150941.14999998</v>
      </c>
      <c r="F29" s="1">
        <v>0</v>
      </c>
      <c r="G29">
        <f t="shared" si="1"/>
        <v>2150941.14999998</v>
      </c>
      <c r="H29">
        <f>G29/$G$1</f>
        <v>0.00461239072054877</v>
      </c>
      <c r="I29">
        <v>0.0386065126648611</v>
      </c>
    </row>
    <row r="30" spans="1:9">
      <c r="A30" s="3" t="s">
        <v>35</v>
      </c>
      <c r="B30">
        <v>3011429.03133334</v>
      </c>
      <c r="C30">
        <v>120329.554</v>
      </c>
      <c r="E30">
        <f t="shared" si="0"/>
        <v>3131758.58533334</v>
      </c>
      <c r="F30" s="1">
        <v>1</v>
      </c>
      <c r="G30">
        <f t="shared" si="1"/>
        <v>3131758.58533334</v>
      </c>
      <c r="H30">
        <f>G30/$G$1</f>
        <v>0.00671561573778557</v>
      </c>
      <c r="I30">
        <v>0.0919085283179575</v>
      </c>
    </row>
    <row r="31" spans="1:9">
      <c r="A31" s="3" t="s">
        <v>36</v>
      </c>
      <c r="B31">
        <v>2978893.65375</v>
      </c>
      <c r="C31">
        <v>275628.088333333</v>
      </c>
      <c r="E31">
        <f t="shared" si="0"/>
        <v>3254521.74208333</v>
      </c>
      <c r="F31" s="1">
        <v>0</v>
      </c>
      <c r="G31">
        <f t="shared" si="1"/>
        <v>3254521.74208333</v>
      </c>
      <c r="H31">
        <f>G31/$G$1</f>
        <v>0.00697886405818659</v>
      </c>
      <c r="I31">
        <v>0.0380805494222425</v>
      </c>
    </row>
    <row r="32" spans="1:9">
      <c r="A32" s="3" t="s">
        <v>37</v>
      </c>
      <c r="B32">
        <v>1277892.9081081</v>
      </c>
      <c r="C32">
        <v>188913.82027027</v>
      </c>
      <c r="E32">
        <f t="shared" si="0"/>
        <v>1466806.72837837</v>
      </c>
      <c r="F32" s="1">
        <v>0</v>
      </c>
      <c r="G32">
        <f t="shared" si="1"/>
        <v>1466806.72837837</v>
      </c>
      <c r="H32">
        <f>G32/$G$1</f>
        <v>0.0031453606914401</v>
      </c>
      <c r="I32">
        <v>0.00335689907991782</v>
      </c>
    </row>
    <row r="33" spans="1:9">
      <c r="A33" s="3" t="s">
        <v>38</v>
      </c>
      <c r="B33">
        <v>1471682.743</v>
      </c>
      <c r="C33">
        <v>44159.0330000003</v>
      </c>
      <c r="E33">
        <f t="shared" si="0"/>
        <v>1515841.776</v>
      </c>
      <c r="F33" s="1">
        <v>0</v>
      </c>
      <c r="G33">
        <f t="shared" si="1"/>
        <v>1515841.776</v>
      </c>
      <c r="H33">
        <f>G33/$G$1</f>
        <v>0.0032505094532422</v>
      </c>
      <c r="I33">
        <v>0.042339490398391</v>
      </c>
    </row>
    <row r="34" spans="1:9">
      <c r="A34" s="3" t="s">
        <v>39</v>
      </c>
      <c r="B34">
        <v>2047395.07764706</v>
      </c>
      <c r="C34">
        <v>142028.338823529</v>
      </c>
      <c r="E34">
        <f t="shared" si="0"/>
        <v>2189423.41647059</v>
      </c>
      <c r="F34" s="1">
        <v>0</v>
      </c>
      <c r="G34">
        <f t="shared" si="1"/>
        <v>2189423.41647059</v>
      </c>
      <c r="H34">
        <f>G34/$G$1</f>
        <v>0.00469491052764565</v>
      </c>
      <c r="I34">
        <v>0.0431578698917837</v>
      </c>
    </row>
    <row r="35" spans="1:9">
      <c r="A35" s="3" t="s">
        <v>40</v>
      </c>
      <c r="B35">
        <v>2581528.976</v>
      </c>
      <c r="C35">
        <v>149006.124285714</v>
      </c>
      <c r="E35">
        <f t="shared" si="0"/>
        <v>2730535.10028571</v>
      </c>
      <c r="F35" s="1">
        <v>0</v>
      </c>
      <c r="G35">
        <f t="shared" si="1"/>
        <v>2730535.10028571</v>
      </c>
      <c r="H35">
        <f>G35/$G$1</f>
        <v>0.00585524841471867</v>
      </c>
      <c r="I35">
        <v>0.0424170558851145</v>
      </c>
    </row>
    <row r="36" spans="1:9">
      <c r="A36" s="3" t="s">
        <v>41</v>
      </c>
      <c r="B36">
        <v>947300.425945945</v>
      </c>
      <c r="C36">
        <v>96841.7564864864</v>
      </c>
      <c r="E36">
        <f t="shared" si="0"/>
        <v>1044142.18243243</v>
      </c>
      <c r="F36" s="1">
        <v>0</v>
      </c>
      <c r="G36">
        <f t="shared" si="1"/>
        <v>1044142.18243243</v>
      </c>
      <c r="H36">
        <f>G36/$G$1</f>
        <v>0.00223901602941807</v>
      </c>
      <c r="I36">
        <v>0.041732866893434</v>
      </c>
    </row>
    <row r="37" spans="1:9">
      <c r="A37" s="3" t="s">
        <v>42</v>
      </c>
      <c r="B37">
        <v>1100281.12249999</v>
      </c>
      <c r="C37">
        <v>155083.60625</v>
      </c>
      <c r="E37">
        <f t="shared" si="0"/>
        <v>1255364.72874999</v>
      </c>
      <c r="F37" s="1">
        <v>1</v>
      </c>
      <c r="G37">
        <f t="shared" si="1"/>
        <v>1255364.72874999</v>
      </c>
      <c r="H37">
        <f>G37/$G$1</f>
        <v>0.00269195306705194</v>
      </c>
      <c r="I37">
        <v>1</v>
      </c>
    </row>
    <row r="38" spans="1:9">
      <c r="A38" s="3" t="s">
        <v>43</v>
      </c>
      <c r="B38">
        <v>1174295.49783783</v>
      </c>
      <c r="C38">
        <v>179467.901351351</v>
      </c>
      <c r="E38">
        <f t="shared" si="0"/>
        <v>1353763.39918918</v>
      </c>
      <c r="F38" s="1">
        <v>0</v>
      </c>
      <c r="G38">
        <f t="shared" si="1"/>
        <v>1353763.39918918</v>
      </c>
      <c r="H38">
        <f>G38/$G$1</f>
        <v>0.00290295517394272</v>
      </c>
      <c r="I38">
        <v>0.0403210819578927</v>
      </c>
    </row>
    <row r="39" spans="1:9">
      <c r="A39" s="3" t="s">
        <v>44</v>
      </c>
      <c r="B39">
        <v>1934105.4364</v>
      </c>
      <c r="C39">
        <v>70430.5212000003</v>
      </c>
      <c r="E39">
        <f t="shared" si="0"/>
        <v>2004535.9576</v>
      </c>
      <c r="F39" s="1">
        <v>0</v>
      </c>
      <c r="G39">
        <f t="shared" si="1"/>
        <v>2004535.9576</v>
      </c>
      <c r="H39">
        <f>G39/$G$1</f>
        <v>0.00429844538045157</v>
      </c>
      <c r="I39">
        <v>0.0425079856612627</v>
      </c>
    </row>
    <row r="40" spans="1:9">
      <c r="A40" s="3" t="s">
        <v>45</v>
      </c>
      <c r="B40">
        <v>1215465.30458333</v>
      </c>
      <c r="C40">
        <v>156096.22375</v>
      </c>
      <c r="E40">
        <f t="shared" si="0"/>
        <v>1371561.52833333</v>
      </c>
      <c r="F40" s="1">
        <v>0</v>
      </c>
      <c r="G40">
        <f t="shared" si="1"/>
        <v>1371561.52833333</v>
      </c>
      <c r="H40">
        <f>G40/$G$1</f>
        <v>0.00294112075820689</v>
      </c>
      <c r="I40">
        <v>0.081885663691027</v>
      </c>
    </row>
    <row r="41" spans="1:9">
      <c r="A41" s="3" t="s">
        <v>46</v>
      </c>
      <c r="B41">
        <v>963754.148571428</v>
      </c>
      <c r="C41">
        <v>22181.6031428571</v>
      </c>
      <c r="E41">
        <f t="shared" si="0"/>
        <v>985935.751714285</v>
      </c>
      <c r="F41" s="1">
        <v>0</v>
      </c>
      <c r="G41">
        <f t="shared" si="1"/>
        <v>985935.751714285</v>
      </c>
      <c r="H41">
        <f>G41/$G$1</f>
        <v>0.00211420052671562</v>
      </c>
      <c r="I41">
        <v>0.0891080632222382</v>
      </c>
    </row>
    <row r="42" spans="1:9">
      <c r="A42" s="3" t="s">
        <v>47</v>
      </c>
      <c r="B42">
        <v>856509.891842104</v>
      </c>
      <c r="C42">
        <v>20653.7352631579</v>
      </c>
      <c r="E42">
        <f t="shared" si="0"/>
        <v>877163.627105262</v>
      </c>
      <c r="F42" s="1">
        <v>0</v>
      </c>
      <c r="G42">
        <f t="shared" si="1"/>
        <v>877163.627105262</v>
      </c>
      <c r="H42">
        <f>G42/$G$1</f>
        <v>0.00188095400660462</v>
      </c>
      <c r="I42">
        <v>0.0887934217356298</v>
      </c>
    </row>
    <row r="43" spans="1:9">
      <c r="A43" s="3" t="s">
        <v>48</v>
      </c>
      <c r="B43">
        <v>1380813.34789473</v>
      </c>
      <c r="C43">
        <v>0</v>
      </c>
      <c r="E43">
        <f t="shared" si="0"/>
        <v>1380813.34789473</v>
      </c>
      <c r="F43" s="1">
        <v>0</v>
      </c>
      <c r="G43">
        <f t="shared" si="1"/>
        <v>1380813.34789473</v>
      </c>
      <c r="H43">
        <f>G43/$G$1</f>
        <v>0.0029609599837911</v>
      </c>
      <c r="I43">
        <v>0</v>
      </c>
    </row>
    <row r="44" spans="1:9">
      <c r="A44" s="3" t="s">
        <v>49</v>
      </c>
      <c r="B44">
        <v>1410581.63076923</v>
      </c>
      <c r="C44">
        <v>105991.226153845</v>
      </c>
      <c r="E44">
        <f t="shared" si="0"/>
        <v>1516572.85692307</v>
      </c>
      <c r="F44" s="1">
        <v>0</v>
      </c>
      <c r="G44">
        <f t="shared" si="1"/>
        <v>1516572.85692307</v>
      </c>
      <c r="H44">
        <f>G44/$G$1</f>
        <v>0.00325207715343964</v>
      </c>
      <c r="I44">
        <v>0.0408690808820338</v>
      </c>
    </row>
    <row r="45" spans="1:9">
      <c r="A45" s="3" t="s">
        <v>50</v>
      </c>
      <c r="B45">
        <v>887673.748918923</v>
      </c>
      <c r="C45">
        <v>132340.424054054</v>
      </c>
      <c r="E45">
        <f t="shared" si="0"/>
        <v>1020014.17297298</v>
      </c>
      <c r="F45" s="1">
        <v>0</v>
      </c>
      <c r="G45">
        <f t="shared" si="1"/>
        <v>1020014.17297298</v>
      </c>
      <c r="H45">
        <f>G45/$G$1</f>
        <v>0.00218727690725004</v>
      </c>
      <c r="I45">
        <v>0.0838755586960536</v>
      </c>
    </row>
    <row r="46" spans="1:9">
      <c r="A46" s="3" t="s">
        <v>51</v>
      </c>
      <c r="B46">
        <v>1065951.07217391</v>
      </c>
      <c r="C46">
        <v>148216.919999999</v>
      </c>
      <c r="E46">
        <f t="shared" si="0"/>
        <v>1214167.99217391</v>
      </c>
      <c r="F46" s="1">
        <v>1</v>
      </c>
      <c r="G46">
        <f t="shared" si="1"/>
        <v>1214167.99217391</v>
      </c>
      <c r="H46">
        <f>G46/$G$1</f>
        <v>0.00260361246066185</v>
      </c>
      <c r="I46">
        <v>0.0404438675680695</v>
      </c>
    </row>
    <row r="47" spans="1:9">
      <c r="A47" s="3" t="s">
        <v>52</v>
      </c>
      <c r="B47">
        <v>1583118.06729728</v>
      </c>
      <c r="C47">
        <v>95580.3872972961</v>
      </c>
      <c r="E47">
        <f t="shared" si="0"/>
        <v>1678698.45459458</v>
      </c>
      <c r="F47" s="1">
        <v>0</v>
      </c>
      <c r="G47">
        <f t="shared" si="1"/>
        <v>1678698.45459458</v>
      </c>
      <c r="H47">
        <f>G47/$G$1</f>
        <v>0.00359973269123225</v>
      </c>
      <c r="I47">
        <v>0.0897110466101328</v>
      </c>
    </row>
    <row r="48" spans="1:9">
      <c r="A48" s="3" t="s">
        <v>53</v>
      </c>
      <c r="B48">
        <v>1341165.84135135</v>
      </c>
      <c r="C48">
        <v>215274.094594594</v>
      </c>
      <c r="E48">
        <f t="shared" si="0"/>
        <v>1556439.93594594</v>
      </c>
      <c r="F48" s="1">
        <v>0</v>
      </c>
      <c r="G48">
        <f t="shared" si="1"/>
        <v>1556439.93594594</v>
      </c>
      <c r="H48">
        <f>G48/$G$1</f>
        <v>0.00333756649625149</v>
      </c>
      <c r="I48">
        <v>0.0816472768466397</v>
      </c>
    </row>
    <row r="49" spans="1:9">
      <c r="A49" s="3" t="s">
        <v>54</v>
      </c>
      <c r="B49">
        <v>1390583.82472222</v>
      </c>
      <c r="C49">
        <v>202402.272499999</v>
      </c>
      <c r="E49">
        <f t="shared" si="0"/>
        <v>1592986.09722222</v>
      </c>
      <c r="F49" s="1">
        <v>0</v>
      </c>
      <c r="G49">
        <f t="shared" si="1"/>
        <v>1592986.09722222</v>
      </c>
      <c r="H49">
        <f>G49/$G$1</f>
        <v>0.0034159345981135</v>
      </c>
      <c r="I49">
        <v>0.00350591824441754</v>
      </c>
    </row>
    <row r="50" spans="1:9">
      <c r="A50" s="3" t="s">
        <v>55</v>
      </c>
      <c r="B50">
        <v>1271969.07724138</v>
      </c>
      <c r="C50">
        <v>79967.7924137923</v>
      </c>
      <c r="E50">
        <f t="shared" si="0"/>
        <v>1351936.86965517</v>
      </c>
      <c r="F50" s="1">
        <v>0</v>
      </c>
      <c r="G50">
        <f t="shared" si="1"/>
        <v>1351936.86965517</v>
      </c>
      <c r="H50">
        <f>G50/$G$1</f>
        <v>0.00289903843829726</v>
      </c>
      <c r="I50">
        <v>0.0878766709782047</v>
      </c>
    </row>
    <row r="51" spans="1:9">
      <c r="A51" s="3" t="s">
        <v>56</v>
      </c>
      <c r="B51">
        <v>1470282.94999999</v>
      </c>
      <c r="C51">
        <v>78215.4123076922</v>
      </c>
      <c r="E51">
        <f t="shared" si="0"/>
        <v>1548498.36230768</v>
      </c>
      <c r="F51" s="1">
        <v>0</v>
      </c>
      <c r="G51">
        <f t="shared" si="1"/>
        <v>1548498.36230768</v>
      </c>
      <c r="H51">
        <f>G51/$G$1</f>
        <v>0.0033205369087355</v>
      </c>
      <c r="I51">
        <v>0.0877834410960155</v>
      </c>
    </row>
    <row r="52" spans="1:9">
      <c r="A52" s="3" t="s">
        <v>57</v>
      </c>
      <c r="B52">
        <v>749358.488108109</v>
      </c>
      <c r="C52">
        <v>73704.636216216</v>
      </c>
      <c r="E52">
        <f t="shared" si="0"/>
        <v>823063.124324325</v>
      </c>
      <c r="F52" s="1">
        <v>0</v>
      </c>
      <c r="G52">
        <f t="shared" si="1"/>
        <v>823063.124324325</v>
      </c>
      <c r="H52">
        <f>G52/$G$1</f>
        <v>0.00176494308877741</v>
      </c>
      <c r="I52">
        <v>0.0417682259652897</v>
      </c>
    </row>
    <row r="53" spans="1:9">
      <c r="A53" s="3" t="s">
        <v>58</v>
      </c>
      <c r="B53">
        <v>751142.275600001</v>
      </c>
      <c r="C53">
        <v>99662.1231999998</v>
      </c>
      <c r="E53">
        <f t="shared" si="0"/>
        <v>850804.398800001</v>
      </c>
      <c r="F53" s="1">
        <v>1</v>
      </c>
      <c r="G53">
        <f t="shared" si="1"/>
        <v>850804.398800001</v>
      </c>
      <c r="H53">
        <f>G53/$G$1</f>
        <v>0.00182443034949015</v>
      </c>
      <c r="I53">
        <v>1</v>
      </c>
    </row>
    <row r="54" spans="1:9">
      <c r="A54" s="3" t="s">
        <v>59</v>
      </c>
      <c r="B54">
        <v>1198972.17833333</v>
      </c>
      <c r="C54">
        <v>71938.358666666</v>
      </c>
      <c r="E54">
        <f t="shared" si="0"/>
        <v>1270910.537</v>
      </c>
      <c r="F54" s="1">
        <v>0</v>
      </c>
      <c r="G54">
        <f t="shared" si="1"/>
        <v>1270910.537</v>
      </c>
      <c r="H54">
        <f>G54/$G$1</f>
        <v>0.00272528886599548</v>
      </c>
      <c r="I54">
        <v>0.0889671831890074</v>
      </c>
    </row>
    <row r="55" spans="1:9">
      <c r="A55" s="3" t="s">
        <v>60</v>
      </c>
      <c r="B55">
        <v>886171.351842093</v>
      </c>
      <c r="C55">
        <v>100959.640789473</v>
      </c>
      <c r="E55">
        <f t="shared" si="0"/>
        <v>987130.992631566</v>
      </c>
      <c r="F55" s="1">
        <v>0</v>
      </c>
      <c r="G55">
        <f t="shared" si="1"/>
        <v>987130.992631566</v>
      </c>
      <c r="H55">
        <f>G55/$G$1</f>
        <v>0.00211676355272667</v>
      </c>
      <c r="I55">
        <v>0.00321504511717891</v>
      </c>
    </row>
    <row r="56" spans="1:9">
      <c r="A56" s="3" t="s">
        <v>61</v>
      </c>
      <c r="B56">
        <v>835940.383928572</v>
      </c>
      <c r="C56">
        <v>78160.1085714286</v>
      </c>
      <c r="E56">
        <f t="shared" si="0"/>
        <v>914100.492500001</v>
      </c>
      <c r="F56" s="1">
        <v>0</v>
      </c>
      <c r="G56">
        <f t="shared" si="1"/>
        <v>914100.492500001</v>
      </c>
      <c r="H56">
        <f>G56/$G$1</f>
        <v>0.00196015991848782</v>
      </c>
      <c r="I56">
        <v>0.0854654235007589</v>
      </c>
    </row>
    <row r="57" spans="1:9">
      <c r="A57" s="3" t="s">
        <v>62</v>
      </c>
      <c r="B57">
        <v>750207.482571429</v>
      </c>
      <c r="C57">
        <v>110988.29</v>
      </c>
      <c r="E57">
        <f t="shared" si="0"/>
        <v>861195.772571429</v>
      </c>
      <c r="F57" s="1">
        <v>0</v>
      </c>
      <c r="G57">
        <f t="shared" si="1"/>
        <v>861195.772571429</v>
      </c>
      <c r="H57">
        <f>G57/$G$1</f>
        <v>0.00184671318877522</v>
      </c>
      <c r="I57">
        <v>0.0842557089440635</v>
      </c>
    </row>
    <row r="58" spans="1:9">
      <c r="A58" s="3" t="s">
        <v>63</v>
      </c>
      <c r="B58">
        <v>1143256.46928571</v>
      </c>
      <c r="C58">
        <v>170599.418571428</v>
      </c>
      <c r="E58">
        <f t="shared" si="0"/>
        <v>1313855.88785714</v>
      </c>
      <c r="F58" s="1">
        <v>0</v>
      </c>
      <c r="G58">
        <f t="shared" si="1"/>
        <v>1313855.88785714</v>
      </c>
      <c r="H58">
        <f>G58/$G$1</f>
        <v>0.00281737912973151</v>
      </c>
      <c r="I58">
        <v>0.0400890243536645</v>
      </c>
    </row>
    <row r="59" spans="1:9">
      <c r="A59" s="3" t="s">
        <v>64</v>
      </c>
      <c r="B59">
        <v>868462.209230769</v>
      </c>
      <c r="C59">
        <v>58222.6949999999</v>
      </c>
      <c r="E59">
        <f t="shared" si="0"/>
        <v>926684.904230769</v>
      </c>
      <c r="F59" s="1">
        <v>0</v>
      </c>
      <c r="G59">
        <f t="shared" si="1"/>
        <v>926684.904230769</v>
      </c>
      <c r="H59">
        <f>G59/$G$1</f>
        <v>0.00198714541917926</v>
      </c>
      <c r="I59">
        <v>0.0417301607619434</v>
      </c>
    </row>
    <row r="60" spans="1:9">
      <c r="A60" s="3" t="s">
        <v>65</v>
      </c>
      <c r="B60">
        <v>722129.054864867</v>
      </c>
      <c r="C60">
        <v>113894.976486486</v>
      </c>
      <c r="E60">
        <f t="shared" si="0"/>
        <v>836024.031351353</v>
      </c>
      <c r="F60" s="1">
        <v>0</v>
      </c>
      <c r="G60">
        <f t="shared" si="1"/>
        <v>836024.031351353</v>
      </c>
      <c r="H60">
        <f>G60/$G$1</f>
        <v>0.0017927359306696</v>
      </c>
      <c r="I60">
        <v>0.00422703389344542</v>
      </c>
    </row>
    <row r="61" spans="1:9">
      <c r="A61" s="3" t="s">
        <v>66</v>
      </c>
      <c r="B61">
        <v>379516.675238097</v>
      </c>
      <c r="C61">
        <v>11385.4676190476</v>
      </c>
      <c r="E61">
        <f t="shared" si="0"/>
        <v>390902.142857145</v>
      </c>
      <c r="F61" s="1">
        <v>0</v>
      </c>
      <c r="G61">
        <f t="shared" si="1"/>
        <v>390902.142857145</v>
      </c>
      <c r="H61">
        <f>G61/$G$1</f>
        <v>0.000838234656655736</v>
      </c>
      <c r="I61">
        <v>0.0425545589165673</v>
      </c>
    </row>
    <row r="62" spans="1:9">
      <c r="A62" s="3" t="s">
        <v>67</v>
      </c>
      <c r="B62">
        <v>456215.474594594</v>
      </c>
      <c r="C62">
        <v>48860.3037837836</v>
      </c>
      <c r="E62">
        <f t="shared" si="0"/>
        <v>505075.778378378</v>
      </c>
      <c r="F62" s="1">
        <v>0</v>
      </c>
      <c r="G62">
        <f t="shared" si="1"/>
        <v>505075.778378378</v>
      </c>
      <c r="H62">
        <f>G62/$G$1</f>
        <v>0.00108306395708056</v>
      </c>
      <c r="I62">
        <v>0.0413481015069351</v>
      </c>
    </row>
    <row r="63" spans="1:9">
      <c r="A63" s="3" t="s">
        <v>68</v>
      </c>
      <c r="B63">
        <v>351506.366296296</v>
      </c>
      <c r="C63">
        <v>21090.3796296296</v>
      </c>
      <c r="E63">
        <f t="shared" si="0"/>
        <v>372596.745925926</v>
      </c>
      <c r="F63" s="1">
        <v>0</v>
      </c>
      <c r="G63">
        <f t="shared" si="1"/>
        <v>372596.745925926</v>
      </c>
      <c r="H63">
        <f>G63/$G$1</f>
        <v>0.000798981307980196</v>
      </c>
      <c r="I63">
        <v>0.0420405535732152</v>
      </c>
    </row>
    <row r="64" spans="1:9">
      <c r="A64" s="3" t="s">
        <v>69</v>
      </c>
      <c r="B64">
        <v>2047998.74652173</v>
      </c>
      <c r="C64">
        <v>342359.620434783</v>
      </c>
      <c r="E64">
        <f t="shared" si="0"/>
        <v>2390358.36695651</v>
      </c>
      <c r="F64" s="1">
        <v>0</v>
      </c>
      <c r="G64">
        <f t="shared" si="1"/>
        <v>2390358.36695651</v>
      </c>
      <c r="H64">
        <f>G64/$G$1</f>
        <v>0.00512578726318776</v>
      </c>
      <c r="I64">
        <v>0.0359647188297598</v>
      </c>
    </row>
    <row r="65" spans="1:9">
      <c r="A65" s="3" t="s">
        <v>70</v>
      </c>
      <c r="B65">
        <v>253863.192</v>
      </c>
      <c r="C65">
        <v>1683.32428571428</v>
      </c>
      <c r="E65">
        <f t="shared" si="0"/>
        <v>255546.516285714</v>
      </c>
      <c r="F65" s="1">
        <v>0</v>
      </c>
      <c r="G65">
        <f t="shared" si="1"/>
        <v>255546.516285714</v>
      </c>
      <c r="H65">
        <f>G65/$G$1</f>
        <v>0.000547983556121377</v>
      </c>
      <c r="I65">
        <v>0.00318856756160485</v>
      </c>
    </row>
    <row r="66" spans="1:9">
      <c r="A66" s="3" t="s">
        <v>71</v>
      </c>
      <c r="B66">
        <v>206707.631111111</v>
      </c>
      <c r="C66">
        <v>20058.0772222222</v>
      </c>
      <c r="E66">
        <f t="shared" ref="E66:E129" si="2">C66+B66</f>
        <v>226765.708333333</v>
      </c>
      <c r="F66" s="1">
        <v>0</v>
      </c>
      <c r="G66">
        <f t="shared" ref="G66:G124" si="3">E66+D66</f>
        <v>226765.708333333</v>
      </c>
      <c r="H66">
        <f>G66/$G$1</f>
        <v>0.000486267162100341</v>
      </c>
      <c r="I66">
        <v>0.0421233573138267</v>
      </c>
    </row>
    <row r="67" spans="1:9">
      <c r="A67" s="3" t="s">
        <v>72</v>
      </c>
      <c r="B67">
        <v>176342.774444444</v>
      </c>
      <c r="C67">
        <v>9951.05888888888</v>
      </c>
      <c r="E67">
        <f t="shared" si="2"/>
        <v>186293.833333333</v>
      </c>
      <c r="F67" s="1">
        <v>0</v>
      </c>
      <c r="G67">
        <f t="shared" si="3"/>
        <v>186293.833333333</v>
      </c>
      <c r="H67">
        <f>G67/$G$1</f>
        <v>0.000399480919392952</v>
      </c>
      <c r="I67">
        <v>0.0424166216038398</v>
      </c>
    </row>
    <row r="68" spans="1:9">
      <c r="A68" s="3" t="s">
        <v>73</v>
      </c>
      <c r="B68">
        <v>224897.4496</v>
      </c>
      <c r="C68">
        <v>6758.95039999999</v>
      </c>
      <c r="E68">
        <f t="shared" si="2"/>
        <v>231656.4</v>
      </c>
      <c r="F68" s="1">
        <v>0</v>
      </c>
      <c r="G68">
        <f t="shared" si="3"/>
        <v>231656.4</v>
      </c>
      <c r="H68">
        <f>G68/$G$1</f>
        <v>0.000496754562399694</v>
      </c>
      <c r="I68">
        <v>0.0423379982041017</v>
      </c>
    </row>
    <row r="69" spans="1:9">
      <c r="A69" s="3" t="s">
        <v>74</v>
      </c>
      <c r="B69">
        <v>488950.768333333</v>
      </c>
      <c r="C69">
        <v>7472.41499999999</v>
      </c>
      <c r="E69">
        <f t="shared" si="2"/>
        <v>496423.183333333</v>
      </c>
      <c r="F69" s="1">
        <v>0</v>
      </c>
      <c r="G69">
        <f t="shared" si="3"/>
        <v>496423.183333333</v>
      </c>
      <c r="H69">
        <f>G69/$G$1</f>
        <v>0.001064509684178</v>
      </c>
      <c r="I69">
        <v>0.0877419642497972</v>
      </c>
    </row>
    <row r="70" spans="1:9">
      <c r="A70" s="3" t="s">
        <v>75</v>
      </c>
      <c r="B70">
        <v>191537.79368421</v>
      </c>
      <c r="C70">
        <v>5746.13421052631</v>
      </c>
      <c r="E70">
        <f t="shared" si="2"/>
        <v>197283.927894736</v>
      </c>
      <c r="F70" s="1">
        <v>0</v>
      </c>
      <c r="G70">
        <f t="shared" si="3"/>
        <v>197283.927894736</v>
      </c>
      <c r="H70">
        <f>G70/$G$1</f>
        <v>0.000423047631189306</v>
      </c>
      <c r="I70">
        <v>0.086597262019934</v>
      </c>
    </row>
    <row r="71" spans="1:9">
      <c r="A71" s="3" t="s">
        <v>76</v>
      </c>
      <c r="B71">
        <v>265601.207428571</v>
      </c>
      <c r="C71">
        <v>39599.892</v>
      </c>
      <c r="E71">
        <f t="shared" si="2"/>
        <v>305201.099428571</v>
      </c>
      <c r="F71" s="1">
        <v>0</v>
      </c>
      <c r="G71">
        <f t="shared" si="3"/>
        <v>305201.099428571</v>
      </c>
      <c r="H71">
        <f>G71/$G$1</f>
        <v>0.000654460824697895</v>
      </c>
      <c r="I71">
        <v>0.041658705597131</v>
      </c>
    </row>
    <row r="72" spans="1:9">
      <c r="A72" s="3" t="s">
        <v>77</v>
      </c>
      <c r="B72">
        <v>719218.389411764</v>
      </c>
      <c r="C72">
        <v>35.1176470588235</v>
      </c>
      <c r="E72">
        <f t="shared" si="2"/>
        <v>719253.507058823</v>
      </c>
      <c r="F72" s="1">
        <v>0</v>
      </c>
      <c r="G72">
        <f t="shared" si="3"/>
        <v>719253.507058823</v>
      </c>
      <c r="H72">
        <f>G72/$G$1</f>
        <v>0.00154233796758238</v>
      </c>
      <c r="I72">
        <v>0.0432839637133048</v>
      </c>
    </row>
    <row r="73" spans="1:9">
      <c r="A73" s="3" t="s">
        <v>78</v>
      </c>
      <c r="B73">
        <v>242207.555555555</v>
      </c>
      <c r="C73">
        <v>4515.43055555555</v>
      </c>
      <c r="E73">
        <f t="shared" si="2"/>
        <v>246722.986111111</v>
      </c>
      <c r="F73" s="1">
        <v>0</v>
      </c>
      <c r="G73">
        <f t="shared" si="3"/>
        <v>246722.986111111</v>
      </c>
      <c r="H73">
        <f>G73/$G$1</f>
        <v>0.000529062736879149</v>
      </c>
      <c r="I73">
        <v>0.0869743265366983</v>
      </c>
    </row>
    <row r="74" spans="1:9">
      <c r="A74" s="3" t="s">
        <v>79</v>
      </c>
      <c r="B74">
        <v>165943.451621621</v>
      </c>
      <c r="C74">
        <v>26759.6613513513</v>
      </c>
      <c r="E74">
        <f t="shared" si="2"/>
        <v>192703.112972972</v>
      </c>
      <c r="F74" s="1">
        <v>0</v>
      </c>
      <c r="G74">
        <f t="shared" si="3"/>
        <v>192703.112972972</v>
      </c>
      <c r="H74">
        <f>G74/$G$1</f>
        <v>0.000413224717978642</v>
      </c>
      <c r="I74">
        <v>0.0852632587224376</v>
      </c>
    </row>
    <row r="75" spans="1:9">
      <c r="A75" s="3" t="s">
        <v>80</v>
      </c>
      <c r="B75">
        <v>142387.133928571</v>
      </c>
      <c r="C75">
        <v>0</v>
      </c>
      <c r="E75">
        <f t="shared" si="2"/>
        <v>142387.133928571</v>
      </c>
      <c r="F75" s="1">
        <v>0</v>
      </c>
      <c r="G75">
        <f t="shared" si="3"/>
        <v>142387.133928571</v>
      </c>
      <c r="H75">
        <f>G75/$G$1</f>
        <v>0.000305329178930666</v>
      </c>
      <c r="I75">
        <v>0.0424740087604599</v>
      </c>
    </row>
    <row r="76" spans="1:9">
      <c r="A76" s="3" t="s">
        <v>81</v>
      </c>
      <c r="B76">
        <v>174355.525405401</v>
      </c>
      <c r="C76">
        <v>5230.9827027027</v>
      </c>
      <c r="E76">
        <f t="shared" si="2"/>
        <v>179586.508108104</v>
      </c>
      <c r="F76" s="1">
        <v>0</v>
      </c>
      <c r="G76">
        <f t="shared" si="3"/>
        <v>179586.508108104</v>
      </c>
      <c r="H76">
        <f>G76/$G$1</f>
        <v>0.000385098003975415</v>
      </c>
      <c r="I76">
        <v>0.0867006758661702</v>
      </c>
    </row>
    <row r="77" spans="1:9">
      <c r="A77" s="3" t="s">
        <v>82</v>
      </c>
      <c r="B77">
        <v>111967.808333333</v>
      </c>
      <c r="C77">
        <v>7393.24166666667</v>
      </c>
      <c r="E77">
        <f t="shared" si="2"/>
        <v>119361.05</v>
      </c>
      <c r="F77" s="1">
        <v>0</v>
      </c>
      <c r="G77">
        <f t="shared" si="3"/>
        <v>119361.05</v>
      </c>
      <c r="H77">
        <f>G77/$G$1</f>
        <v>0.000255952981054346</v>
      </c>
      <c r="I77">
        <v>0.0422265483796307</v>
      </c>
    </row>
    <row r="78" spans="1:9">
      <c r="A78" s="3" t="s">
        <v>83</v>
      </c>
      <c r="B78">
        <v>290591.948666667</v>
      </c>
      <c r="C78">
        <v>14529.584</v>
      </c>
      <c r="E78">
        <f t="shared" si="2"/>
        <v>305121.532666667</v>
      </c>
      <c r="F78" s="1">
        <v>0</v>
      </c>
      <c r="G78">
        <f t="shared" si="3"/>
        <v>305121.532666667</v>
      </c>
      <c r="H78">
        <f>G78/$G$1</f>
        <v>0.000654290204969749</v>
      </c>
      <c r="I78">
        <v>0.0865665510607159</v>
      </c>
    </row>
    <row r="79" spans="1:9">
      <c r="A79" s="3" t="s">
        <v>84</v>
      </c>
      <c r="B79">
        <v>289030.4303125</v>
      </c>
      <c r="C79">
        <v>24690.4165625</v>
      </c>
      <c r="E79">
        <f t="shared" si="2"/>
        <v>313720.846875</v>
      </c>
      <c r="F79" s="1">
        <v>0</v>
      </c>
      <c r="G79">
        <f t="shared" si="3"/>
        <v>313720.846875</v>
      </c>
      <c r="H79">
        <f>G79/$G$1</f>
        <v>0.000672730224613057</v>
      </c>
      <c r="I79">
        <v>0.0862229438297575</v>
      </c>
    </row>
    <row r="80" spans="1:9">
      <c r="A80" s="3" t="s">
        <v>85</v>
      </c>
      <c r="B80">
        <v>137078.146666666</v>
      </c>
      <c r="C80">
        <v>8647.64874999999</v>
      </c>
      <c r="E80">
        <f t="shared" si="2"/>
        <v>145725.795416666</v>
      </c>
      <c r="F80" s="1">
        <v>0</v>
      </c>
      <c r="G80">
        <f t="shared" si="3"/>
        <v>145725.795416666</v>
      </c>
      <c r="H80">
        <f>G80/$G$1</f>
        <v>0.00031248846883813</v>
      </c>
      <c r="I80">
        <v>0.042300508411842</v>
      </c>
    </row>
    <row r="81" spans="1:9">
      <c r="A81" s="3" t="s">
        <v>86</v>
      </c>
      <c r="B81">
        <v>451755.253749999</v>
      </c>
      <c r="C81">
        <v>20649.7049999999</v>
      </c>
      <c r="E81">
        <f t="shared" si="2"/>
        <v>472404.958749999</v>
      </c>
      <c r="F81" s="1">
        <v>0</v>
      </c>
      <c r="G81">
        <f t="shared" si="3"/>
        <v>472404.958749999</v>
      </c>
      <c r="H81">
        <f>G81/$G$1</f>
        <v>0.00101300598023323</v>
      </c>
      <c r="I81">
        <v>0.0869283560231747</v>
      </c>
    </row>
    <row r="82" spans="1:9">
      <c r="A82" s="3" t="s">
        <v>87</v>
      </c>
      <c r="B82">
        <v>91368.9478378377</v>
      </c>
      <c r="C82">
        <v>14311.7591891891</v>
      </c>
      <c r="E82">
        <f t="shared" si="2"/>
        <v>105680.707027027</v>
      </c>
      <c r="F82" s="1">
        <v>0</v>
      </c>
      <c r="G82">
        <f t="shared" si="3"/>
        <v>105680.707027027</v>
      </c>
      <c r="H82">
        <f>G82/$G$1</f>
        <v>0.000226617409980044</v>
      </c>
      <c r="I82">
        <v>0.0039354307774418</v>
      </c>
    </row>
    <row r="83" spans="1:9">
      <c r="A83" s="3" t="s">
        <v>88</v>
      </c>
      <c r="B83">
        <v>112780.464999999</v>
      </c>
      <c r="C83">
        <v>18037.8496153846</v>
      </c>
      <c r="E83">
        <f t="shared" si="2"/>
        <v>130818.314615384</v>
      </c>
      <c r="F83" s="1">
        <v>1</v>
      </c>
      <c r="G83">
        <f t="shared" si="3"/>
        <v>130818.314615384</v>
      </c>
      <c r="H83">
        <f>G83/$G$1</f>
        <v>0.000280521473314057</v>
      </c>
      <c r="I83">
        <v>1</v>
      </c>
    </row>
    <row r="84" spans="1:9">
      <c r="A84" s="3" t="s">
        <v>89</v>
      </c>
      <c r="B84">
        <v>140822.050000001</v>
      </c>
      <c r="C84">
        <v>4224.65041666663</v>
      </c>
      <c r="E84">
        <f t="shared" si="2"/>
        <v>145046.700416668</v>
      </c>
      <c r="F84" s="1">
        <v>0</v>
      </c>
      <c r="G84">
        <f t="shared" si="3"/>
        <v>145046.700416668</v>
      </c>
      <c r="H84">
        <f>G84/$G$1</f>
        <v>0.000311032245139791</v>
      </c>
      <c r="I84">
        <v>0.0439109941458936</v>
      </c>
    </row>
    <row r="85" spans="1:9">
      <c r="A85" s="3" t="s">
        <v>90</v>
      </c>
      <c r="B85">
        <v>150963.301562499</v>
      </c>
      <c r="C85">
        <v>23314.9906249999</v>
      </c>
      <c r="E85">
        <f t="shared" si="2"/>
        <v>174278.292187499</v>
      </c>
      <c r="F85" s="1">
        <v>0</v>
      </c>
      <c r="G85">
        <f t="shared" si="3"/>
        <v>174278.292187499</v>
      </c>
      <c r="H85">
        <f>G85/$G$1</f>
        <v>0.00037371528164716</v>
      </c>
      <c r="I85">
        <v>0.00393725115289284</v>
      </c>
    </row>
    <row r="86" spans="1:9">
      <c r="A86" s="3" t="s">
        <v>91</v>
      </c>
      <c r="B86">
        <v>71878.1689189189</v>
      </c>
      <c r="C86">
        <v>2156.34459459459</v>
      </c>
      <c r="E86">
        <f t="shared" si="2"/>
        <v>74034.5135135135</v>
      </c>
      <c r="F86" s="1">
        <v>0</v>
      </c>
      <c r="G86">
        <f t="shared" si="3"/>
        <v>74034.5135135135</v>
      </c>
      <c r="H86">
        <f>G86/$G$1</f>
        <v>0.00015875659970059</v>
      </c>
      <c r="I86">
        <v>0.0423198215677711</v>
      </c>
    </row>
    <row r="87" spans="1:9">
      <c r="A87" s="3" t="s">
        <v>92</v>
      </c>
      <c r="B87">
        <v>166471.333076923</v>
      </c>
      <c r="C87">
        <v>4994.14076923076</v>
      </c>
      <c r="E87">
        <f t="shared" si="2"/>
        <v>171465.473846154</v>
      </c>
      <c r="F87" s="1">
        <v>0</v>
      </c>
      <c r="G87">
        <f t="shared" si="3"/>
        <v>171465.473846154</v>
      </c>
      <c r="H87">
        <f>G87/$G$1</f>
        <v>0.000367683588396878</v>
      </c>
      <c r="I87">
        <v>0.0866534603244857</v>
      </c>
    </row>
    <row r="88" spans="1:9">
      <c r="A88" s="3" t="s">
        <v>93</v>
      </c>
      <c r="B88">
        <v>178062.624999999</v>
      </c>
      <c r="C88">
        <v>18666.9931818181</v>
      </c>
      <c r="E88">
        <f t="shared" si="2"/>
        <v>196729.618181817</v>
      </c>
      <c r="F88" s="1">
        <v>1</v>
      </c>
      <c r="G88">
        <f t="shared" si="3"/>
        <v>196729.618181817</v>
      </c>
      <c r="H88">
        <f>G88/$G$1</f>
        <v>0.000421858991985404</v>
      </c>
      <c r="I88">
        <v>0.0858637254771752</v>
      </c>
    </row>
    <row r="89" spans="1:9">
      <c r="A89" s="3" t="s">
        <v>94</v>
      </c>
      <c r="B89">
        <v>72161.5105714286</v>
      </c>
      <c r="C89">
        <v>5586.47942857144</v>
      </c>
      <c r="E89">
        <f t="shared" si="2"/>
        <v>77747.99</v>
      </c>
      <c r="F89" s="1">
        <v>0</v>
      </c>
      <c r="G89">
        <f t="shared" si="3"/>
        <v>77747.99</v>
      </c>
      <c r="H89">
        <f>G89/$G$1</f>
        <v>0.000166719627646401</v>
      </c>
      <c r="I89">
        <v>0.00381252804313209</v>
      </c>
    </row>
    <row r="90" spans="1:9">
      <c r="A90" s="3" t="s">
        <v>95</v>
      </c>
      <c r="B90">
        <v>81010.8634782608</v>
      </c>
      <c r="C90">
        <v>12832.4408695652</v>
      </c>
      <c r="E90">
        <f t="shared" si="2"/>
        <v>93843.304347826</v>
      </c>
      <c r="F90" s="1">
        <v>0</v>
      </c>
      <c r="G90">
        <f t="shared" si="3"/>
        <v>93843.304347826</v>
      </c>
      <c r="H90">
        <f>G90/$G$1</f>
        <v>0.000201233765116982</v>
      </c>
      <c r="I90">
        <v>0.00410930281534</v>
      </c>
    </row>
    <row r="91" spans="1:9">
      <c r="A91" s="3" t="s">
        <v>96</v>
      </c>
      <c r="B91">
        <v>101535.0646875</v>
      </c>
      <c r="C91">
        <v>6088.97687499999</v>
      </c>
      <c r="E91">
        <f t="shared" si="2"/>
        <v>107624.0415625</v>
      </c>
      <c r="F91" s="1">
        <v>0</v>
      </c>
      <c r="G91">
        <f t="shared" si="3"/>
        <v>107624.0415625</v>
      </c>
      <c r="H91">
        <f>G91/$G$1</f>
        <v>0.000230784617520026</v>
      </c>
      <c r="I91">
        <v>0.0862507043794217</v>
      </c>
    </row>
    <row r="92" spans="1:9">
      <c r="A92" s="3" t="s">
        <v>97</v>
      </c>
      <c r="B92">
        <v>63118.9556756756</v>
      </c>
      <c r="C92">
        <v>9707.13891891892</v>
      </c>
      <c r="E92">
        <f t="shared" si="2"/>
        <v>72826.0945945945</v>
      </c>
      <c r="F92" s="1">
        <v>0</v>
      </c>
      <c r="G92">
        <f t="shared" si="3"/>
        <v>72826.0945945945</v>
      </c>
      <c r="H92">
        <f>G92/$G$1</f>
        <v>0.000156165315318793</v>
      </c>
      <c r="I92">
        <v>0.00392090896190006</v>
      </c>
    </row>
    <row r="93" spans="1:9">
      <c r="A93" s="3" t="s">
        <v>98</v>
      </c>
      <c r="B93">
        <v>184129.446666666</v>
      </c>
      <c r="C93">
        <v>5523.88666666666</v>
      </c>
      <c r="E93">
        <f t="shared" si="2"/>
        <v>189653.333333333</v>
      </c>
      <c r="F93" s="1">
        <v>0</v>
      </c>
      <c r="G93">
        <f t="shared" si="3"/>
        <v>189653.333333333</v>
      </c>
      <c r="H93">
        <f>G93/$G$1</f>
        <v>0.000406684894557816</v>
      </c>
      <c r="I93">
        <v>0.0865838629259912</v>
      </c>
    </row>
    <row r="94" spans="1:9">
      <c r="A94" s="3" t="s">
        <v>99</v>
      </c>
      <c r="B94">
        <v>42173.0097142857</v>
      </c>
      <c r="C94">
        <v>1265.19028571428</v>
      </c>
      <c r="E94">
        <f t="shared" si="2"/>
        <v>43438.2</v>
      </c>
      <c r="F94" s="1">
        <v>0</v>
      </c>
      <c r="G94">
        <f t="shared" si="3"/>
        <v>43438.2</v>
      </c>
      <c r="H94">
        <f>G94/$G$1</f>
        <v>9.31471093931806e-5</v>
      </c>
      <c r="I94">
        <v>0.0423169019016684</v>
      </c>
    </row>
    <row r="95" spans="1:9">
      <c r="A95" s="3" t="s">
        <v>100</v>
      </c>
      <c r="B95">
        <v>43883.3366666666</v>
      </c>
      <c r="C95">
        <v>1316.49208333333</v>
      </c>
      <c r="E95">
        <f t="shared" si="2"/>
        <v>45199.8287499999</v>
      </c>
      <c r="F95" s="1">
        <v>0</v>
      </c>
      <c r="G95">
        <f t="shared" si="3"/>
        <v>45199.8287499999</v>
      </c>
      <c r="H95">
        <f>G95/$G$1</f>
        <v>9.69246744369994e-5</v>
      </c>
      <c r="I95">
        <v>0.0862520832329668</v>
      </c>
    </row>
    <row r="96" spans="1:9">
      <c r="A96" s="3" t="s">
        <v>101</v>
      </c>
      <c r="B96">
        <v>66021.6360000001</v>
      </c>
      <c r="C96">
        <v>1980.66257142857</v>
      </c>
      <c r="E96">
        <f t="shared" si="2"/>
        <v>68002.2985714287</v>
      </c>
      <c r="F96" s="1">
        <v>0</v>
      </c>
      <c r="G96">
        <f t="shared" si="3"/>
        <v>68002.2985714287</v>
      </c>
      <c r="H96">
        <f>G96/$G$1</f>
        <v>0.000145821363316634</v>
      </c>
      <c r="I96">
        <v>0.0422998785268856</v>
      </c>
    </row>
    <row r="97" spans="1:9">
      <c r="A97" s="3" t="s">
        <v>102</v>
      </c>
      <c r="B97">
        <v>359550.9725</v>
      </c>
      <c r="C97">
        <v>10786.5275</v>
      </c>
      <c r="E97">
        <f t="shared" si="2"/>
        <v>370337.5</v>
      </c>
      <c r="F97" s="1">
        <v>0</v>
      </c>
      <c r="G97">
        <f t="shared" si="3"/>
        <v>370337.5</v>
      </c>
      <c r="H97">
        <f>G97/$G$1</f>
        <v>0.000794136672903044</v>
      </c>
      <c r="I97">
        <v>0.0876115031978538</v>
      </c>
    </row>
    <row r="98" spans="1:9">
      <c r="A98" s="3" t="s">
        <v>103</v>
      </c>
      <c r="B98">
        <v>51126.3589473684</v>
      </c>
      <c r="C98">
        <v>1533.79368421052</v>
      </c>
      <c r="E98">
        <f t="shared" si="2"/>
        <v>52660.1526315789</v>
      </c>
      <c r="F98" s="1">
        <v>0</v>
      </c>
      <c r="G98">
        <f t="shared" si="3"/>
        <v>52660.1526315789</v>
      </c>
      <c r="H98">
        <f>G98/$G$1</f>
        <v>0.0001129222895478</v>
      </c>
      <c r="I98">
        <v>0.0423038084481101</v>
      </c>
    </row>
    <row r="99" spans="1:9">
      <c r="A99" s="3" t="s">
        <v>104</v>
      </c>
      <c r="B99">
        <v>45265.8570967741</v>
      </c>
      <c r="C99">
        <v>1350.62032258064</v>
      </c>
      <c r="E99">
        <f t="shared" si="2"/>
        <v>46616.4774193547</v>
      </c>
      <c r="F99" s="1">
        <v>0</v>
      </c>
      <c r="G99">
        <f t="shared" si="3"/>
        <v>46616.4774193547</v>
      </c>
      <c r="H99">
        <f>G99/$G$1</f>
        <v>9.99624782266614e-5</v>
      </c>
      <c r="I99">
        <v>0.0423168996721219</v>
      </c>
    </row>
    <row r="100" spans="1:9">
      <c r="A100" s="3" t="s">
        <v>105</v>
      </c>
      <c r="B100">
        <v>236250.058</v>
      </c>
      <c r="C100">
        <v>10750.9019999999</v>
      </c>
      <c r="E100">
        <f t="shared" si="2"/>
        <v>247000.96</v>
      </c>
      <c r="F100" s="1">
        <v>1</v>
      </c>
      <c r="G100">
        <f t="shared" si="3"/>
        <v>247000.96</v>
      </c>
      <c r="H100">
        <f>G100/$G$1</f>
        <v>0.000529658812780931</v>
      </c>
      <c r="I100">
        <v>1</v>
      </c>
    </row>
    <row r="101" spans="1:9">
      <c r="A101" s="3" t="s">
        <v>106</v>
      </c>
      <c r="B101">
        <v>23149.9562068965</v>
      </c>
      <c r="C101">
        <v>694.499310344827</v>
      </c>
      <c r="E101">
        <f t="shared" si="2"/>
        <v>23844.4555172413</v>
      </c>
      <c r="F101" s="1">
        <v>1</v>
      </c>
      <c r="G101">
        <f t="shared" si="3"/>
        <v>23844.4555172413</v>
      </c>
      <c r="H101">
        <f>G101/$G$1</f>
        <v>5.11310806268516e-5</v>
      </c>
      <c r="I101">
        <v>0.999934657375482</v>
      </c>
    </row>
    <row r="102" spans="1:9">
      <c r="A102" s="3" t="s">
        <v>107</v>
      </c>
      <c r="B102">
        <v>85136.395</v>
      </c>
      <c r="C102">
        <v>12958.105</v>
      </c>
      <c r="E102">
        <f t="shared" si="2"/>
        <v>98094.5</v>
      </c>
      <c r="F102" s="1">
        <v>1</v>
      </c>
      <c r="G102">
        <f t="shared" si="3"/>
        <v>98094.5</v>
      </c>
      <c r="H102">
        <f>G102/$G$1</f>
        <v>0.000210349856171972</v>
      </c>
      <c r="I102">
        <v>1</v>
      </c>
    </row>
    <row r="103" spans="1:9">
      <c r="A103" s="3" t="s">
        <v>108</v>
      </c>
      <c r="B103">
        <v>16545.744347826</v>
      </c>
      <c r="C103">
        <v>2536.21652173913</v>
      </c>
      <c r="E103">
        <f t="shared" si="2"/>
        <v>19081.9608695651</v>
      </c>
      <c r="F103" s="1">
        <v>1</v>
      </c>
      <c r="G103">
        <f t="shared" si="3"/>
        <v>19081.9608695651</v>
      </c>
      <c r="H103">
        <f>G103/$G$1</f>
        <v>4.09185808010869e-5</v>
      </c>
      <c r="I103">
        <v>1</v>
      </c>
    </row>
    <row r="104" spans="1:9">
      <c r="A104" s="3" t="s">
        <v>109</v>
      </c>
      <c r="B104">
        <v>106401.102499999</v>
      </c>
      <c r="C104">
        <v>7502.133125</v>
      </c>
      <c r="E104">
        <f t="shared" si="2"/>
        <v>113903.235624999</v>
      </c>
      <c r="F104" s="1">
        <v>1</v>
      </c>
      <c r="G104">
        <f t="shared" si="3"/>
        <v>113903.235624999</v>
      </c>
      <c r="H104">
        <f>G104/$G$1</f>
        <v>0.000244249465884843</v>
      </c>
      <c r="I104">
        <v>1</v>
      </c>
    </row>
    <row r="105" spans="1:9">
      <c r="A105" s="3" t="s">
        <v>110</v>
      </c>
      <c r="B105">
        <v>26265.051</v>
      </c>
      <c r="C105">
        <v>787.949</v>
      </c>
      <c r="E105">
        <f t="shared" si="2"/>
        <v>27053</v>
      </c>
      <c r="F105" s="1">
        <v>0</v>
      </c>
      <c r="G105">
        <f t="shared" si="3"/>
        <v>27053</v>
      </c>
      <c r="H105">
        <f>G105/$G$1</f>
        <v>5.8011352920096e-5</v>
      </c>
      <c r="I105">
        <v>0.086199240945228</v>
      </c>
    </row>
    <row r="106" spans="1:9">
      <c r="A106" s="3" t="s">
        <v>111</v>
      </c>
      <c r="B106">
        <v>40209.5378260869</v>
      </c>
      <c r="C106">
        <v>1206.28347826087</v>
      </c>
      <c r="E106">
        <f t="shared" si="2"/>
        <v>41415.8213043478</v>
      </c>
      <c r="F106" s="1">
        <v>0</v>
      </c>
      <c r="G106">
        <f t="shared" si="3"/>
        <v>41415.8213043478</v>
      </c>
      <c r="H106">
        <f>G106/$G$1</f>
        <v>8.88104027709367e-5</v>
      </c>
      <c r="I106">
        <v>0.0862352780323892</v>
      </c>
    </row>
    <row r="107" spans="1:9">
      <c r="A107" s="3" t="s">
        <v>112</v>
      </c>
      <c r="B107">
        <v>18314.0268749999</v>
      </c>
      <c r="C107">
        <v>550.906249999999</v>
      </c>
      <c r="E107">
        <f t="shared" si="2"/>
        <v>18864.9331249999</v>
      </c>
      <c r="F107" s="1">
        <v>0</v>
      </c>
      <c r="G107">
        <f t="shared" si="3"/>
        <v>18864.9331249999</v>
      </c>
      <c r="H107">
        <f>G107/$G$1</f>
        <v>4.04531953324355e-5</v>
      </c>
      <c r="I107">
        <v>0.0423074494542552</v>
      </c>
    </row>
    <row r="108" spans="1:9">
      <c r="A108" s="3" t="s">
        <v>113</v>
      </c>
      <c r="B108">
        <v>71526.5809090909</v>
      </c>
      <c r="C108">
        <v>4291.6009090909</v>
      </c>
      <c r="E108">
        <f t="shared" si="2"/>
        <v>75818.1818181818</v>
      </c>
      <c r="F108" s="1">
        <v>1</v>
      </c>
      <c r="G108">
        <f t="shared" si="3"/>
        <v>75818.1818181818</v>
      </c>
      <c r="H108">
        <f>G108/$G$1</f>
        <v>0.000162581425469063</v>
      </c>
      <c r="I108">
        <v>1</v>
      </c>
    </row>
    <row r="109" spans="1:9">
      <c r="A109" s="3" t="s">
        <v>114</v>
      </c>
      <c r="B109">
        <v>47867.7775</v>
      </c>
      <c r="C109">
        <v>1436.0375</v>
      </c>
      <c r="E109">
        <f t="shared" si="2"/>
        <v>49303.815</v>
      </c>
      <c r="F109" s="1">
        <v>1</v>
      </c>
      <c r="G109">
        <f t="shared" si="3"/>
        <v>49303.815</v>
      </c>
      <c r="H109">
        <f>G109/$G$1</f>
        <v>0.000105725095637161</v>
      </c>
      <c r="I109">
        <v>1</v>
      </c>
    </row>
    <row r="110" spans="1:9">
      <c r="A110" s="3" t="s">
        <v>115</v>
      </c>
      <c r="B110">
        <v>36897.2308333333</v>
      </c>
      <c r="C110">
        <v>1170.01916666666</v>
      </c>
      <c r="E110">
        <f t="shared" si="2"/>
        <v>38067.25</v>
      </c>
      <c r="F110" s="1">
        <v>1</v>
      </c>
      <c r="G110">
        <f t="shared" si="3"/>
        <v>38067.25</v>
      </c>
      <c r="H110">
        <f>G110/$G$1</f>
        <v>8.16298626565455e-5</v>
      </c>
      <c r="I110">
        <v>0.999964459018881</v>
      </c>
    </row>
    <row r="111" spans="1:9">
      <c r="A111" s="3" t="s">
        <v>116</v>
      </c>
      <c r="B111">
        <v>9377.13619047619</v>
      </c>
      <c r="C111">
        <v>281.316666666666</v>
      </c>
      <c r="E111">
        <f t="shared" si="2"/>
        <v>9658.45285714286</v>
      </c>
      <c r="F111" s="1">
        <v>0</v>
      </c>
      <c r="G111">
        <f t="shared" si="3"/>
        <v>9658.45285714286</v>
      </c>
      <c r="H111">
        <f>G111/$G$1</f>
        <v>2.07111934853001e-5</v>
      </c>
      <c r="I111">
        <v>0.0861593840452345</v>
      </c>
    </row>
    <row r="112" spans="1:9">
      <c r="A112" s="3" t="s">
        <v>117</v>
      </c>
      <c r="B112">
        <v>24098.4669999999</v>
      </c>
      <c r="C112">
        <v>5206.25966666666</v>
      </c>
      <c r="E112">
        <f t="shared" si="2"/>
        <v>29304.7266666666</v>
      </c>
      <c r="F112" s="1">
        <v>1</v>
      </c>
      <c r="G112">
        <f t="shared" si="3"/>
        <v>29304.7266666666</v>
      </c>
      <c r="H112">
        <f>G112/$G$1</f>
        <v>6.28398640035096e-5</v>
      </c>
      <c r="I112">
        <v>1</v>
      </c>
    </row>
    <row r="113" spans="1:9">
      <c r="A113" s="3" t="s">
        <v>118</v>
      </c>
      <c r="B113">
        <v>93628.143</v>
      </c>
      <c r="C113">
        <v>15852.157</v>
      </c>
      <c r="E113">
        <f t="shared" si="2"/>
        <v>109480.3</v>
      </c>
      <c r="F113" s="1">
        <v>1</v>
      </c>
      <c r="G113">
        <f t="shared" si="3"/>
        <v>109480.3</v>
      </c>
      <c r="H113">
        <f>G113/$G$1</f>
        <v>0.000234765102617011</v>
      </c>
      <c r="I113">
        <v>1</v>
      </c>
    </row>
    <row r="114" spans="1:9">
      <c r="A114" s="3" t="s">
        <v>119</v>
      </c>
      <c r="B114">
        <v>56716.11</v>
      </c>
      <c r="C114">
        <v>9183.89</v>
      </c>
      <c r="E114">
        <f t="shared" si="2"/>
        <v>65900</v>
      </c>
      <c r="F114" s="1">
        <v>1</v>
      </c>
      <c r="G114">
        <f t="shared" si="3"/>
        <v>65900</v>
      </c>
      <c r="H114">
        <f>G114/$G$1</f>
        <v>0.000141313279763218</v>
      </c>
      <c r="I114">
        <v>1</v>
      </c>
    </row>
    <row r="115" spans="1:9">
      <c r="A115" s="3" t="s">
        <v>120</v>
      </c>
      <c r="B115">
        <v>9151.19916666666</v>
      </c>
      <c r="C115">
        <v>274.535833333333</v>
      </c>
      <c r="E115">
        <f t="shared" si="2"/>
        <v>9425.73499999999</v>
      </c>
      <c r="F115" s="1">
        <v>1</v>
      </c>
      <c r="G115">
        <f t="shared" si="3"/>
        <v>9425.73499999999</v>
      </c>
      <c r="H115">
        <f>G115/$G$1</f>
        <v>2.02121627773741e-5</v>
      </c>
      <c r="I115">
        <v>1</v>
      </c>
    </row>
    <row r="116" spans="1:9">
      <c r="A116" s="3" t="s">
        <v>121</v>
      </c>
      <c r="B116">
        <v>13883.495</v>
      </c>
      <c r="C116">
        <v>416.505</v>
      </c>
      <c r="E116">
        <f t="shared" si="2"/>
        <v>14300</v>
      </c>
      <c r="F116" s="1">
        <v>1</v>
      </c>
      <c r="G116">
        <f t="shared" si="3"/>
        <v>14300</v>
      </c>
      <c r="H116">
        <f>G116/$G$1</f>
        <v>3.06643384008196e-5</v>
      </c>
      <c r="I116">
        <v>0.99990347229552</v>
      </c>
    </row>
    <row r="117" spans="1:9">
      <c r="A117" s="3" t="s">
        <v>122</v>
      </c>
      <c r="B117">
        <v>15428.5026666666</v>
      </c>
      <c r="C117">
        <v>462.852</v>
      </c>
      <c r="E117">
        <f t="shared" si="2"/>
        <v>15891.3546666666</v>
      </c>
      <c r="F117" s="1">
        <v>1</v>
      </c>
      <c r="G117">
        <f t="shared" si="3"/>
        <v>15891.3546666666</v>
      </c>
      <c r="H117">
        <f>G117/$G$1</f>
        <v>3.4076774625602e-5</v>
      </c>
      <c r="I117">
        <v>0.999908955300581</v>
      </c>
    </row>
    <row r="118" spans="1:9">
      <c r="A118" s="3" t="s">
        <v>123</v>
      </c>
      <c r="B118">
        <v>52335.131</v>
      </c>
      <c r="C118">
        <v>181.669</v>
      </c>
      <c r="E118">
        <f t="shared" si="2"/>
        <v>52516.8</v>
      </c>
      <c r="F118" s="1">
        <v>1</v>
      </c>
      <c r="G118">
        <f t="shared" si="3"/>
        <v>52516.8</v>
      </c>
      <c r="H118">
        <f>G118/$G$1</f>
        <v>0.000112614889994976</v>
      </c>
      <c r="I118">
        <v>0.999983090089607</v>
      </c>
    </row>
    <row r="119" spans="1:9">
      <c r="A119" s="3" t="s">
        <v>124</v>
      </c>
      <c r="B119">
        <v>9091.49266666666</v>
      </c>
      <c r="C119">
        <v>273.214</v>
      </c>
      <c r="E119">
        <f t="shared" si="2"/>
        <v>9364.70666666666</v>
      </c>
      <c r="F119" s="1">
        <v>1</v>
      </c>
      <c r="G119">
        <f t="shared" si="3"/>
        <v>9364.70666666666</v>
      </c>
      <c r="H119">
        <f>G119/$G$1</f>
        <v>2.0081296101474e-5</v>
      </c>
      <c r="I119">
        <v>0.999949406381707</v>
      </c>
    </row>
    <row r="120" spans="1:9">
      <c r="A120" s="3" t="s">
        <v>125</v>
      </c>
      <c r="B120">
        <v>3567.18599999999</v>
      </c>
      <c r="C120">
        <v>107.013999999999</v>
      </c>
      <c r="E120">
        <f t="shared" si="2"/>
        <v>3674.19999999999</v>
      </c>
      <c r="F120" s="1">
        <v>1</v>
      </c>
      <c r="G120">
        <f t="shared" si="3"/>
        <v>3674.19999999999</v>
      </c>
      <c r="H120">
        <f>G120/$G$1</f>
        <v>7.87880504561476e-6</v>
      </c>
      <c r="I120">
        <v>0.999986902961273</v>
      </c>
    </row>
    <row r="121" spans="1:9">
      <c r="A121" s="3" t="s">
        <v>126</v>
      </c>
      <c r="B121">
        <v>31778.8683333333</v>
      </c>
      <c r="C121">
        <v>953.368333333333</v>
      </c>
      <c r="E121">
        <f t="shared" si="2"/>
        <v>32732.2366666666</v>
      </c>
      <c r="F121" s="1">
        <v>1</v>
      </c>
      <c r="G121">
        <f t="shared" si="3"/>
        <v>32732.2366666666</v>
      </c>
      <c r="H121">
        <f>G121/$G$1</f>
        <v>7.01896770463203e-5</v>
      </c>
      <c r="I121">
        <v>0.999964611649971</v>
      </c>
    </row>
    <row r="122" spans="1:9">
      <c r="A122" s="3" t="s">
        <v>127</v>
      </c>
      <c r="B122">
        <v>4227.58416666666</v>
      </c>
      <c r="C122">
        <v>534.397083333333</v>
      </c>
      <c r="E122">
        <f t="shared" si="2"/>
        <v>4761.98124999999</v>
      </c>
      <c r="F122" s="1">
        <v>1</v>
      </c>
      <c r="G122">
        <f t="shared" si="3"/>
        <v>4761.98124999999</v>
      </c>
      <c r="H122">
        <f>G122/$G$1</f>
        <v>1.02113989166684e-5</v>
      </c>
      <c r="I122">
        <v>1</v>
      </c>
    </row>
    <row r="123" spans="1:9">
      <c r="A123" s="3" t="s">
        <v>128</v>
      </c>
      <c r="B123">
        <v>2266.22384615384</v>
      </c>
      <c r="C123">
        <v>69.9530769230769</v>
      </c>
      <c r="E123">
        <f t="shared" si="2"/>
        <v>2336.17692307692</v>
      </c>
      <c r="F123" s="1">
        <v>1</v>
      </c>
      <c r="G123">
        <f t="shared" si="3"/>
        <v>2336.17692307692</v>
      </c>
      <c r="H123">
        <f>G123/$G$1</f>
        <v>5.00960277856057e-6</v>
      </c>
      <c r="I123">
        <v>0.999904721996899</v>
      </c>
    </row>
    <row r="124" spans="1:9">
      <c r="A124" s="3" t="s">
        <v>129</v>
      </c>
      <c r="B124">
        <v>13349.0566666666</v>
      </c>
      <c r="C124">
        <v>1821.58999999999</v>
      </c>
      <c r="E124">
        <f t="shared" si="2"/>
        <v>15170.6466666666</v>
      </c>
      <c r="F124" s="1">
        <v>1</v>
      </c>
      <c r="G124">
        <f t="shared" si="3"/>
        <v>15170.6466666666</v>
      </c>
      <c r="H124">
        <f>G124/$G$1</f>
        <v>3.25313177025126e-5</v>
      </c>
      <c r="I124">
        <v>0.999937100500812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11715</dc:creator>
  <cp:lastModifiedBy>Utopian</cp:lastModifiedBy>
  <dcterms:created xsi:type="dcterms:W3CDTF">2020-09-11T16:02:00Z</dcterms:created>
  <dcterms:modified xsi:type="dcterms:W3CDTF">2020-09-13T01:04:28Z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2052-11.1.0.9999</vt:lpwstr>
  </property>
</Properties>
</file>